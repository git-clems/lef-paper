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uirabat-my.sharepoint.com/personal/clement_bamogo_uir_ac_ma/Documents/Bureau/PhD/Paper 1/Code/lef-paper/Result_computational/"/>
    </mc:Choice>
  </mc:AlternateContent>
  <xr:revisionPtr revIDLastSave="48" documentId="11_59226F19E4EBBADFB88E6B870401B3B6BCC2D719" xr6:coauthVersionLast="47" xr6:coauthVersionMax="47" xr10:uidLastSave="{3DD174F7-6FCF-43A4-AB5E-ECD775F363CC}"/>
  <bookViews>
    <workbookView xWindow="1995" yWindow="-16320" windowWidth="29040" windowHeight="15720" activeTab="4" xr2:uid="{00000000-000D-0000-FFFF-FFFF00000000}"/>
  </bookViews>
  <sheets>
    <sheet name="gurobi" sheetId="1" r:id="rId1"/>
    <sheet name="vns" sheetId="2" r:id="rId2"/>
    <sheet name="vns-ql" sheetId="3" r:id="rId3"/>
    <sheet name="as" sheetId="4" r:id="rId4"/>
    <sheet name="as-ql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3" l="1"/>
  <c r="A12" i="3"/>
  <c r="A11" i="3"/>
  <c r="A10" i="3"/>
  <c r="A9" i="3"/>
  <c r="A8" i="3"/>
  <c r="A7" i="3"/>
  <c r="A6" i="3"/>
  <c r="A5" i="3"/>
  <c r="A4" i="3"/>
  <c r="A3" i="3"/>
  <c r="A2" i="3"/>
  <c r="A3" i="2"/>
  <c r="A4" i="2"/>
  <c r="A5" i="2"/>
  <c r="A6" i="2"/>
  <c r="A7" i="2"/>
  <c r="A8" i="2"/>
  <c r="A9" i="2"/>
  <c r="A10" i="2"/>
  <c r="A11" i="2"/>
  <c r="A12" i="2"/>
  <c r="A13" i="2"/>
  <c r="A2" i="2"/>
  <c r="A13" i="5"/>
  <c r="A12" i="5"/>
  <c r="A11" i="5"/>
  <c r="A10" i="5"/>
  <c r="A9" i="5"/>
  <c r="A13" i="4"/>
  <c r="A12" i="4"/>
  <c r="A11" i="4"/>
  <c r="A10" i="4"/>
  <c r="A9" i="4"/>
</calcChain>
</file>

<file path=xl/sharedStrings.xml><?xml version="1.0" encoding="utf-8"?>
<sst xmlns="http://schemas.openxmlformats.org/spreadsheetml/2006/main" count="132" uniqueCount="42">
  <si>
    <t>Instance</t>
  </si>
  <si>
    <t>time_1</t>
  </si>
  <si>
    <t>time_2</t>
  </si>
  <si>
    <t>time_3</t>
  </si>
  <si>
    <t>time_4</t>
  </si>
  <si>
    <t>time_5</t>
  </si>
  <si>
    <t>time_6</t>
  </si>
  <si>
    <t>time_7</t>
  </si>
  <si>
    <t>time_8</t>
  </si>
  <si>
    <t>time_9</t>
  </si>
  <si>
    <t>time_10</t>
  </si>
  <si>
    <t>cost_1</t>
  </si>
  <si>
    <t>cost_2</t>
  </si>
  <si>
    <t>cost_3</t>
  </si>
  <si>
    <t>cost_4</t>
  </si>
  <si>
    <t>cost_5</t>
  </si>
  <si>
    <t>cost_6</t>
  </si>
  <si>
    <t>cost_7</t>
  </si>
  <si>
    <t>cost_8</t>
  </si>
  <si>
    <t>cost_9</t>
  </si>
  <si>
    <t>cost_10</t>
  </si>
  <si>
    <t>(2, 3, 4, 1)</t>
  </si>
  <si>
    <t>(5, 4, 10, 1)</t>
  </si>
  <si>
    <t>(10, 15, 20, 1)</t>
  </si>
  <si>
    <t>(15, 20, 30, 1)</t>
  </si>
  <si>
    <t>(25, 50, 70, 2)</t>
  </si>
  <si>
    <t>(50, 70, 100, 2)</t>
  </si>
  <si>
    <t>(70, 100, 100, 3)</t>
  </si>
  <si>
    <t>24.50</t>
  </si>
  <si>
    <t>(100, 120, 120, 3)</t>
  </si>
  <si>
    <t>cost</t>
  </si>
  <si>
    <t>gap</t>
  </si>
  <si>
    <t>0.0000%</t>
  </si>
  <si>
    <t>0.0080%</t>
  </si>
  <si>
    <t>0.0027%</t>
  </si>
  <si>
    <t>0.0009%</t>
  </si>
  <si>
    <t>0.0004%</t>
  </si>
  <si>
    <t>0.0003%</t>
  </si>
  <si>
    <t>(100, 150, 150, 4)</t>
  </si>
  <si>
    <t>(100, 150, 170, 4)</t>
  </si>
  <si>
    <t>(150, 150, 170, 5)</t>
  </si>
  <si>
    <t>(200, 200, 200, 5)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</si>
</sst>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4" fontId="1" fillId="0" borderId="5" xfId="0" applyNumberFormat="1" applyFont="1" applyBorder="1" applyAlignment="1">
      <alignment horizontal="right"/>
    </xf>
    <xf numFmtId="4" fontId="1" fillId="0" borderId="5" xfId="0" applyNumberFormat="1" applyFont="1" applyBorder="1" applyAlignment="1">
      <alignment horizontal="right"/>
    </xf>
    <xf numFmtId="164" fontId="1" fillId="0" borderId="6" xfId="0" applyNumberFormat="1" applyFont="1" applyBorder="1" applyAlignment="1">
      <alignment horizontal="right"/>
    </xf>
    <xf numFmtId="0" fontId="1" fillId="0" borderId="5" xfId="0" applyFont="1" applyBorder="1" applyAlignment="1">
      <alignment horizontal="left"/>
    </xf>
    <xf numFmtId="4" fontId="1" fillId="0" borderId="6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8" xfId="0" applyNumberFormat="1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" fontId="1" fillId="0" borderId="2" xfId="0" applyNumberFormat="1" applyFont="1" applyBorder="1" applyAlignment="1">
      <alignment horizontal="center"/>
    </xf>
    <xf numFmtId="4" fontId="1" fillId="0" borderId="3" xfId="0" applyNumberFormat="1" applyFont="1" applyBorder="1" applyAlignment="1">
      <alignment horizontal="center"/>
    </xf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/>
    </xf>
    <xf numFmtId="0" fontId="2" fillId="0" borderId="9" xfId="0" applyFont="1" applyBorder="1" applyAlignment="1">
      <alignment horizontal="right"/>
    </xf>
    <xf numFmtId="0" fontId="1" fillId="0" borderId="3" xfId="0" applyFont="1" applyBorder="1" applyAlignment="1">
      <alignment horizontal="left"/>
    </xf>
    <xf numFmtId="0" fontId="1" fillId="0" borderId="6" xfId="0" applyFont="1" applyBorder="1" applyAlignment="1">
      <alignment horizontal="right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right"/>
    </xf>
    <xf numFmtId="0" fontId="1" fillId="0" borderId="4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4" fontId="1" fillId="0" borderId="5" xfId="0" applyNumberFormat="1" applyFont="1" applyBorder="1" applyAlignment="1">
      <alignment horizontal="center"/>
    </xf>
    <xf numFmtId="2" fontId="1" fillId="0" borderId="5" xfId="0" applyNumberFormat="1" applyFont="1" applyBorder="1" applyAlignment="1">
      <alignment horizontal="right"/>
    </xf>
    <xf numFmtId="2" fontId="1" fillId="0" borderId="6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left"/>
    </xf>
    <xf numFmtId="2" fontId="1" fillId="0" borderId="7" xfId="0" applyNumberFormat="1" applyFont="1" applyBorder="1" applyAlignment="1">
      <alignment horizontal="right"/>
    </xf>
    <xf numFmtId="2" fontId="1" fillId="0" borderId="8" xfId="0" applyNumberFormat="1" applyFont="1" applyBorder="1" applyAlignment="1">
      <alignment horizontal="right"/>
    </xf>
    <xf numFmtId="2" fontId="1" fillId="0" borderId="7" xfId="0" applyNumberFormat="1" applyFont="1" applyBorder="1" applyAlignment="1">
      <alignment horizontal="left"/>
    </xf>
  </cellXfs>
  <cellStyles count="1">
    <cellStyle name="Normal" xfId="0" builtinId="0"/>
  </cellStyles>
  <dxfs count="24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2" formatCode="0.0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numFmt numFmtId="2" formatCode="0.00"/>
      <border outline="0">
        <right style="thin">
          <color rgb="FF000000"/>
        </right>
      </border>
    </dxf>
    <dxf>
      <border outline="0"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ableau1" displayName="Tableau1" ref="A1:M13" totalsRowShown="0">
  <autoFilter ref="A1:M13" xr:uid="{00000000-0009-0000-0100-000005000000}"/>
  <tableColumns count="13">
    <tableColumn id="1" xr3:uid="{00000000-0010-0000-0000-000001000000}" name="Instance" dataDxfId="23"/>
    <tableColumn id="2" xr3:uid="{00000000-0010-0000-0000-000002000000}" name="time_1"/>
    <tableColumn id="3" xr3:uid="{00000000-0010-0000-0000-000003000000}" name="time_2"/>
    <tableColumn id="4" xr3:uid="{00000000-0010-0000-0000-000004000000}" name="time_3"/>
    <tableColumn id="5" xr3:uid="{00000000-0010-0000-0000-000005000000}" name="time_4"/>
    <tableColumn id="6" xr3:uid="{00000000-0010-0000-0000-000006000000}" name="time_5"/>
    <tableColumn id="7" xr3:uid="{00000000-0010-0000-0000-000007000000}" name="time_6"/>
    <tableColumn id="8" xr3:uid="{00000000-0010-0000-0000-000008000000}" name="time_7"/>
    <tableColumn id="9" xr3:uid="{00000000-0010-0000-0000-000009000000}" name="time_8"/>
    <tableColumn id="10" xr3:uid="{00000000-0010-0000-0000-00000A000000}" name="time_9"/>
    <tableColumn id="11" xr3:uid="{00000000-0010-0000-0000-00000B000000}" name="time_10"/>
    <tableColumn id="12" xr3:uid="{00000000-0010-0000-0000-00000C000000}" name="cost"/>
    <tableColumn id="13" xr3:uid="{00000000-0010-0000-0000-00000D000000}" name="gap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au2" displayName="Tableau2" ref="A1:U13" totalsRowShown="0">
  <autoFilter ref="A1:U13" xr:uid="{00000000-0009-0000-0100-000004000000}"/>
  <tableColumns count="21">
    <tableColumn id="1" xr3:uid="{00000000-0010-0000-0100-000001000000}" name="Instance">
      <calculatedColumnFormula>gurobi!A2</calculatedColumnFormula>
    </tableColumn>
    <tableColumn id="2" xr3:uid="{00000000-0010-0000-0100-000002000000}" name="time_1"/>
    <tableColumn id="3" xr3:uid="{00000000-0010-0000-0100-000003000000}" name="time_2"/>
    <tableColumn id="4" xr3:uid="{00000000-0010-0000-0100-000004000000}" name="time_3"/>
    <tableColumn id="5" xr3:uid="{00000000-0010-0000-0100-000005000000}" name="time_4"/>
    <tableColumn id="6" xr3:uid="{00000000-0010-0000-0100-000006000000}" name="time_5"/>
    <tableColumn id="7" xr3:uid="{00000000-0010-0000-0100-000007000000}" name="time_6"/>
    <tableColumn id="8" xr3:uid="{00000000-0010-0000-0100-000008000000}" name="time_7"/>
    <tableColumn id="9" xr3:uid="{00000000-0010-0000-0100-000009000000}" name="time_8"/>
    <tableColumn id="10" xr3:uid="{00000000-0010-0000-0100-00000A000000}" name="time_9"/>
    <tableColumn id="11" xr3:uid="{00000000-0010-0000-0100-00000B000000}" name="time_10"/>
    <tableColumn id="12" xr3:uid="{00000000-0010-0000-0100-00000C000000}" name="cost_1"/>
    <tableColumn id="13" xr3:uid="{00000000-0010-0000-0100-00000D000000}" name="cost_2"/>
    <tableColumn id="14" xr3:uid="{00000000-0010-0000-0100-00000E000000}" name="cost_3"/>
    <tableColumn id="15" xr3:uid="{00000000-0010-0000-0100-00000F000000}" name="cost_4"/>
    <tableColumn id="16" xr3:uid="{00000000-0010-0000-0100-000010000000}" name="cost_5"/>
    <tableColumn id="17" xr3:uid="{00000000-0010-0000-0100-000011000000}" name="cost_6"/>
    <tableColumn id="18" xr3:uid="{00000000-0010-0000-0100-000012000000}" name="cost_7"/>
    <tableColumn id="19" xr3:uid="{00000000-0010-0000-0100-000013000000}" name="cost_8"/>
    <tableColumn id="20" xr3:uid="{00000000-0010-0000-0100-000014000000}" name="cost_9"/>
    <tableColumn id="21" xr3:uid="{00000000-0010-0000-0100-000015000000}" name="cost_1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au24" displayName="Tableau24" ref="A1:U13" totalsRowShown="0">
  <autoFilter ref="A1:U13" xr:uid="{00000000-0009-0000-0100-000003000000}"/>
  <tableColumns count="21">
    <tableColumn id="1" xr3:uid="{00000000-0010-0000-0200-000001000000}" name="Instance" dataDxfId="22">
      <calculatedColumnFormula>gurobi!A2</calculatedColumnFormula>
    </tableColumn>
    <tableColumn id="2" xr3:uid="{00000000-0010-0000-0200-000002000000}" name="time_1"/>
    <tableColumn id="3" xr3:uid="{00000000-0010-0000-0200-000003000000}" name="time_2"/>
    <tableColumn id="4" xr3:uid="{00000000-0010-0000-0200-000004000000}" name="time_3"/>
    <tableColumn id="5" xr3:uid="{00000000-0010-0000-0200-000005000000}" name="time_4"/>
    <tableColumn id="6" xr3:uid="{00000000-0010-0000-0200-000006000000}" name="time_5"/>
    <tableColumn id="7" xr3:uid="{00000000-0010-0000-0200-000007000000}" name="time_6"/>
    <tableColumn id="8" xr3:uid="{00000000-0010-0000-0200-000008000000}" name="time_7"/>
    <tableColumn id="9" xr3:uid="{00000000-0010-0000-0200-000009000000}" name="time_8"/>
    <tableColumn id="10" xr3:uid="{00000000-0010-0000-0200-00000A000000}" name="time_9"/>
    <tableColumn id="11" xr3:uid="{00000000-0010-0000-0200-00000B000000}" name="time_10"/>
    <tableColumn id="12" xr3:uid="{00000000-0010-0000-0200-00000C000000}" name="cost_1"/>
    <tableColumn id="13" xr3:uid="{00000000-0010-0000-0200-00000D000000}" name="cost_2"/>
    <tableColumn id="14" xr3:uid="{00000000-0010-0000-0200-00000E000000}" name="cost_3"/>
    <tableColumn id="15" xr3:uid="{00000000-0010-0000-0200-00000F000000}" name="cost_4"/>
    <tableColumn id="16" xr3:uid="{00000000-0010-0000-0200-000010000000}" name="cost_5"/>
    <tableColumn id="17" xr3:uid="{00000000-0010-0000-0200-000011000000}" name="cost_6"/>
    <tableColumn id="18" xr3:uid="{00000000-0010-0000-0200-000012000000}" name="cost_7"/>
    <tableColumn id="19" xr3:uid="{00000000-0010-0000-0200-000013000000}" name="cost_8"/>
    <tableColumn id="20" xr3:uid="{00000000-0010-0000-0200-000014000000}" name="cost_9"/>
    <tableColumn id="21" xr3:uid="{00000000-0010-0000-0200-000015000000}" name="cost_1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au25" displayName="Tableau25" ref="A1:U13" totalsRowShown="0">
  <autoFilter ref="A1:U13" xr:uid="{00000000-0009-0000-0100-000002000000}"/>
  <tableColumns count="21">
    <tableColumn id="1" xr3:uid="{00000000-0010-0000-0300-000001000000}" name="Instance"/>
    <tableColumn id="2" xr3:uid="{00000000-0010-0000-0300-000002000000}" name="time_1"/>
    <tableColumn id="3" xr3:uid="{00000000-0010-0000-0300-000003000000}" name="time_2"/>
    <tableColumn id="4" xr3:uid="{00000000-0010-0000-0300-000004000000}" name="time_3"/>
    <tableColumn id="5" xr3:uid="{00000000-0010-0000-0300-000005000000}" name="time_4"/>
    <tableColumn id="6" xr3:uid="{00000000-0010-0000-0300-000006000000}" name="time_5"/>
    <tableColumn id="7" xr3:uid="{00000000-0010-0000-0300-000007000000}" name="time_6"/>
    <tableColumn id="8" xr3:uid="{00000000-0010-0000-0300-000008000000}" name="time_7"/>
    <tableColumn id="9" xr3:uid="{00000000-0010-0000-0300-000009000000}" name="time_8"/>
    <tableColumn id="10" xr3:uid="{00000000-0010-0000-0300-00000A000000}" name="time_9"/>
    <tableColumn id="11" xr3:uid="{00000000-0010-0000-0300-00000B000000}" name="time_10"/>
    <tableColumn id="12" xr3:uid="{00000000-0010-0000-0300-00000C000000}" name="cost_1"/>
    <tableColumn id="13" xr3:uid="{00000000-0010-0000-0300-00000D000000}" name="cost_2"/>
    <tableColumn id="14" xr3:uid="{00000000-0010-0000-0300-00000E000000}" name="cost_3"/>
    <tableColumn id="15" xr3:uid="{00000000-0010-0000-0300-00000F000000}" name="cost_4"/>
    <tableColumn id="16" xr3:uid="{00000000-0010-0000-0300-000010000000}" name="cost_5"/>
    <tableColumn id="17" xr3:uid="{00000000-0010-0000-0300-000011000000}" name="cost_6"/>
    <tableColumn id="18" xr3:uid="{00000000-0010-0000-0300-000012000000}" name="cost_7"/>
    <tableColumn id="19" xr3:uid="{00000000-0010-0000-0300-000013000000}" name="cost_8"/>
    <tableColumn id="20" xr3:uid="{00000000-0010-0000-0300-000014000000}" name="cost_9"/>
    <tableColumn id="21" xr3:uid="{00000000-0010-0000-0300-000015000000}" name="cost_1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ableau26" displayName="Tableau26" ref="A1:U13">
  <autoFilter ref="A1:U13" xr:uid="{00000000-000C-0000-FFFF-FFFF04000000}"/>
  <tableColumns count="21">
    <tableColumn id="1" xr3:uid="{00000000-0010-0000-0400-000001000000}" name="Instance" totalsRowLabel="Total" dataDxfId="20"/>
    <tableColumn id="2" xr3:uid="{00000000-0010-0000-0400-000002000000}" name="time_1" dataDxfId="19"/>
    <tableColumn id="3" xr3:uid="{00000000-0010-0000-0400-000003000000}" name="time_2" dataDxfId="18"/>
    <tableColumn id="4" xr3:uid="{00000000-0010-0000-0400-000004000000}" name="time_3" dataDxfId="17"/>
    <tableColumn id="5" xr3:uid="{00000000-0010-0000-0400-000005000000}" name="time_4" dataDxfId="16"/>
    <tableColumn id="6" xr3:uid="{00000000-0010-0000-0400-000006000000}" name="time_5" dataDxfId="15"/>
    <tableColumn id="7" xr3:uid="{00000000-0010-0000-0400-000007000000}" name="time_6" dataDxfId="14"/>
    <tableColumn id="8" xr3:uid="{00000000-0010-0000-0400-000008000000}" name="time_7" dataDxfId="13"/>
    <tableColumn id="9" xr3:uid="{00000000-0010-0000-0400-000009000000}" name="time_8" dataDxfId="12"/>
    <tableColumn id="10" xr3:uid="{00000000-0010-0000-0400-00000A000000}" name="time_9" dataDxfId="11"/>
    <tableColumn id="11" xr3:uid="{00000000-0010-0000-0400-00000B000000}" name="time_10" dataDxfId="10"/>
    <tableColumn id="12" xr3:uid="{00000000-0010-0000-0400-00000C000000}" name="cost_1" dataDxfId="9"/>
    <tableColumn id="13" xr3:uid="{00000000-0010-0000-0400-00000D000000}" name="cost_2" dataDxfId="8"/>
    <tableColumn id="14" xr3:uid="{00000000-0010-0000-0400-00000E000000}" name="cost_3" dataDxfId="7"/>
    <tableColumn id="15" xr3:uid="{00000000-0010-0000-0400-00000F000000}" name="cost_4" dataDxfId="6"/>
    <tableColumn id="16" xr3:uid="{00000000-0010-0000-0400-000010000000}" name="cost_5" dataDxfId="5"/>
    <tableColumn id="17" xr3:uid="{00000000-0010-0000-0400-000011000000}" name="cost_6" dataDxfId="4"/>
    <tableColumn id="18" xr3:uid="{00000000-0010-0000-0400-000012000000}" name="cost_7" dataDxfId="3"/>
    <tableColumn id="19" xr3:uid="{00000000-0010-0000-0400-000013000000}" name="cost_8" dataDxfId="2"/>
    <tableColumn id="20" xr3:uid="{00000000-0010-0000-0400-000014000000}" name="cost_9" dataDxfId="1" totalsRowDxfId="21"/>
    <tableColumn id="21" xr3:uid="{00000000-0010-0000-0400-000015000000}" name="cost_10" totalsRowFunction="count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13"/>
  <sheetViews>
    <sheetView workbookViewId="0">
      <selection activeCell="C29" sqref="C29"/>
    </sheetView>
  </sheetViews>
  <sheetFormatPr baseColWidth="10" defaultColWidth="8.88671875" defaultRowHeight="14.4" x14ac:dyDescent="0.3"/>
  <cols>
    <col min="1" max="1" width="15" style="13" bestFit="1" customWidth="1"/>
    <col min="2" max="10" width="13.5546875" style="18" bestFit="1" customWidth="1"/>
    <col min="11" max="11" width="12.33203125" style="18" bestFit="1" customWidth="1"/>
    <col min="12" max="12" width="12.88671875" style="18" bestFit="1" customWidth="1"/>
    <col min="13" max="13" width="13.5546875" style="14" bestFit="1" customWidth="1"/>
    <col min="14" max="23" width="13.5546875" bestFit="1" customWidth="1"/>
  </cols>
  <sheetData>
    <row r="1" spans="1:23" x14ac:dyDescent="0.3">
      <c r="A1" s="19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30</v>
      </c>
      <c r="M1" s="21" t="s">
        <v>31</v>
      </c>
    </row>
    <row r="2" spans="1:23" x14ac:dyDescent="0.3">
      <c r="A2" s="4" t="s">
        <v>21</v>
      </c>
      <c r="B2" s="5">
        <v>0</v>
      </c>
      <c r="C2" s="5">
        <v>0.02</v>
      </c>
      <c r="D2" s="5">
        <v>0.02</v>
      </c>
      <c r="E2" s="5">
        <v>0.02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6">
        <v>0</v>
      </c>
      <c r="L2" s="5">
        <v>32180.93</v>
      </c>
      <c r="M2" s="22" t="s">
        <v>32</v>
      </c>
    </row>
    <row r="3" spans="1:23" x14ac:dyDescent="0.3">
      <c r="A3" s="4" t="s">
        <v>22</v>
      </c>
      <c r="B3" s="6">
        <v>0.34</v>
      </c>
      <c r="C3" s="6">
        <v>0.42</v>
      </c>
      <c r="D3" s="6">
        <v>0.22</v>
      </c>
      <c r="E3" s="6">
        <v>0.23</v>
      </c>
      <c r="F3" s="6">
        <v>0.3</v>
      </c>
      <c r="G3" s="6">
        <v>0.2</v>
      </c>
      <c r="H3" s="6">
        <v>0.33</v>
      </c>
      <c r="I3" s="6">
        <v>0.28000000000000003</v>
      </c>
      <c r="J3" s="6">
        <v>0.27</v>
      </c>
      <c r="K3" s="6">
        <v>0.39</v>
      </c>
      <c r="L3" s="6">
        <v>54357.74</v>
      </c>
      <c r="M3" s="22" t="s">
        <v>32</v>
      </c>
    </row>
    <row r="4" spans="1:23" x14ac:dyDescent="0.3">
      <c r="A4" s="4" t="s">
        <v>23</v>
      </c>
      <c r="B4" s="6">
        <v>0.31</v>
      </c>
      <c r="C4" s="6">
        <v>0.23</v>
      </c>
      <c r="D4" s="6">
        <v>0.2</v>
      </c>
      <c r="E4" s="6">
        <v>0.17</v>
      </c>
      <c r="F4" s="6">
        <v>0.3</v>
      </c>
      <c r="G4" s="6">
        <v>0.27</v>
      </c>
      <c r="H4" s="6">
        <v>0.16</v>
      </c>
      <c r="I4" s="6">
        <v>0.14000000000000001</v>
      </c>
      <c r="J4" s="6">
        <v>0.14000000000000001</v>
      </c>
      <c r="K4" s="6">
        <v>0.16</v>
      </c>
      <c r="L4" s="6">
        <v>122007.72</v>
      </c>
      <c r="M4" s="22" t="s">
        <v>32</v>
      </c>
      <c r="W4" s="23"/>
    </row>
    <row r="5" spans="1:23" x14ac:dyDescent="0.3">
      <c r="A5" s="4" t="s">
        <v>24</v>
      </c>
      <c r="B5" s="6">
        <v>1.33</v>
      </c>
      <c r="C5" s="6">
        <v>1.25</v>
      </c>
      <c r="D5" s="6">
        <v>1.25</v>
      </c>
      <c r="E5" s="6">
        <v>1.27</v>
      </c>
      <c r="F5" s="6">
        <v>1.25</v>
      </c>
      <c r="G5" s="6">
        <v>1.36</v>
      </c>
      <c r="H5" s="6">
        <v>1.25</v>
      </c>
      <c r="I5" s="6">
        <v>1.1200000000000001</v>
      </c>
      <c r="J5" s="6">
        <v>1.27</v>
      </c>
      <c r="K5" s="6">
        <v>1.81</v>
      </c>
      <c r="L5" s="5">
        <v>163222.54</v>
      </c>
      <c r="M5" s="22" t="s">
        <v>33</v>
      </c>
    </row>
    <row r="6" spans="1:23" x14ac:dyDescent="0.3">
      <c r="A6" s="4" t="s">
        <v>25</v>
      </c>
      <c r="B6" s="6">
        <v>15.09</v>
      </c>
      <c r="C6" s="6">
        <v>14.98</v>
      </c>
      <c r="D6" s="6">
        <v>14.66</v>
      </c>
      <c r="E6" s="6">
        <v>14.83</v>
      </c>
      <c r="F6" s="6">
        <v>15.14</v>
      </c>
      <c r="G6" s="6">
        <v>14.97</v>
      </c>
      <c r="H6" s="6">
        <v>14.66</v>
      </c>
      <c r="I6" s="6">
        <v>16.3</v>
      </c>
      <c r="J6" s="6">
        <v>15.88</v>
      </c>
      <c r="K6" s="6">
        <v>14.55</v>
      </c>
      <c r="L6" s="6">
        <v>638062.68000000005</v>
      </c>
      <c r="M6" s="22" t="s">
        <v>34</v>
      </c>
    </row>
    <row r="7" spans="1:23" x14ac:dyDescent="0.3">
      <c r="A7" s="4" t="s">
        <v>26</v>
      </c>
      <c r="B7" s="6">
        <v>91.28</v>
      </c>
      <c r="C7" s="6">
        <v>96.72</v>
      </c>
      <c r="D7" s="6">
        <v>89.84</v>
      </c>
      <c r="E7" s="6">
        <v>83.16</v>
      </c>
      <c r="F7" s="6">
        <v>81.62</v>
      </c>
      <c r="G7" s="6">
        <v>82.73</v>
      </c>
      <c r="H7" s="6">
        <v>84.98</v>
      </c>
      <c r="I7" s="6">
        <v>80.5</v>
      </c>
      <c r="J7" s="6">
        <v>80.28</v>
      </c>
      <c r="K7" s="6">
        <v>82.12</v>
      </c>
      <c r="L7" s="6">
        <v>722204.33</v>
      </c>
      <c r="M7" s="22" t="s">
        <v>35</v>
      </c>
    </row>
    <row r="8" spans="1:23" x14ac:dyDescent="0.3">
      <c r="A8" s="4" t="s">
        <v>27</v>
      </c>
      <c r="B8" s="6">
        <v>186.8</v>
      </c>
      <c r="C8" s="6">
        <v>173.42</v>
      </c>
      <c r="D8" s="6">
        <v>183.23</v>
      </c>
      <c r="E8" s="6">
        <v>182.44</v>
      </c>
      <c r="F8" s="6">
        <v>191.64</v>
      </c>
      <c r="G8" s="6">
        <v>189.69</v>
      </c>
      <c r="H8" s="6">
        <v>184.73</v>
      </c>
      <c r="I8" s="6">
        <v>194.27</v>
      </c>
      <c r="J8" s="6">
        <v>198.5</v>
      </c>
      <c r="K8" s="6">
        <v>193.36</v>
      </c>
      <c r="L8" s="6">
        <v>1295791.33</v>
      </c>
      <c r="M8" s="22" t="s">
        <v>36</v>
      </c>
    </row>
    <row r="9" spans="1:23" x14ac:dyDescent="0.3">
      <c r="A9" s="4" t="s">
        <v>29</v>
      </c>
      <c r="B9" s="6">
        <v>436.75</v>
      </c>
      <c r="C9" s="6">
        <v>442.08</v>
      </c>
      <c r="D9" s="6">
        <v>449.78</v>
      </c>
      <c r="E9" s="6">
        <v>433.11</v>
      </c>
      <c r="F9" s="6">
        <v>481.5</v>
      </c>
      <c r="G9" s="6">
        <v>451.39</v>
      </c>
      <c r="H9" s="6">
        <v>452.77</v>
      </c>
      <c r="I9" s="6">
        <v>452.25</v>
      </c>
      <c r="J9" s="6">
        <v>444.77</v>
      </c>
      <c r="K9" s="6">
        <v>451.38</v>
      </c>
      <c r="L9" s="6">
        <v>1514593.07</v>
      </c>
      <c r="M9" s="22" t="s">
        <v>37</v>
      </c>
    </row>
    <row r="10" spans="1:23" x14ac:dyDescent="0.3">
      <c r="A10" s="25" t="s">
        <v>38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22"/>
    </row>
    <row r="11" spans="1:23" x14ac:dyDescent="0.3">
      <c r="A11" s="25" t="s">
        <v>39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22"/>
    </row>
    <row r="12" spans="1:23" x14ac:dyDescent="0.3">
      <c r="A12" s="25" t="s">
        <v>40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22"/>
    </row>
    <row r="13" spans="1:23" x14ac:dyDescent="0.3">
      <c r="A13" s="26" t="s">
        <v>41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2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13"/>
  <sheetViews>
    <sheetView workbookViewId="0">
      <selection activeCell="C30" sqref="C30"/>
    </sheetView>
  </sheetViews>
  <sheetFormatPr baseColWidth="10" defaultColWidth="8.88671875" defaultRowHeight="14.4" x14ac:dyDescent="0.3"/>
  <cols>
    <col min="1" max="1" width="15" style="13" bestFit="1" customWidth="1"/>
    <col min="2" max="2" width="13.5546875" style="18" bestFit="1" customWidth="1"/>
    <col min="3" max="11" width="13.5546875" style="14" bestFit="1" customWidth="1"/>
    <col min="12" max="12" width="13.5546875" style="18" bestFit="1" customWidth="1"/>
    <col min="13" max="21" width="13.5546875" style="15" bestFit="1" customWidth="1"/>
  </cols>
  <sheetData>
    <row r="1" spans="1:21" x14ac:dyDescent="0.3">
      <c r="A1" s="19" t="s">
        <v>0</v>
      </c>
      <c r="B1" s="16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7" t="s">
        <v>11</v>
      </c>
      <c r="M1" s="2" t="s">
        <v>12</v>
      </c>
      <c r="N1" s="3" t="s">
        <v>13</v>
      </c>
      <c r="O1" s="2" t="s">
        <v>14</v>
      </c>
      <c r="P1" s="3" t="s">
        <v>15</v>
      </c>
      <c r="Q1" s="2" t="s">
        <v>16</v>
      </c>
      <c r="R1" s="3" t="s">
        <v>17</v>
      </c>
      <c r="S1" s="2" t="s">
        <v>18</v>
      </c>
      <c r="T1" s="3" t="s">
        <v>19</v>
      </c>
      <c r="U1" s="2" t="s">
        <v>20</v>
      </c>
    </row>
    <row r="2" spans="1:21" x14ac:dyDescent="0.3">
      <c r="A2" s="4" t="str">
        <f>gurobi!A2</f>
        <v>(2, 3, 4, 1)</v>
      </c>
      <c r="B2" s="5"/>
      <c r="C2" s="5"/>
      <c r="D2" s="5"/>
      <c r="E2" s="5"/>
      <c r="F2" s="5"/>
      <c r="G2" s="5"/>
      <c r="H2" s="5"/>
      <c r="I2" s="5"/>
      <c r="J2" s="5"/>
      <c r="K2" s="6"/>
      <c r="L2" s="7"/>
      <c r="M2" s="8"/>
      <c r="N2" s="8"/>
      <c r="O2" s="8"/>
      <c r="P2" s="8"/>
      <c r="Q2" s="8"/>
      <c r="R2" s="8"/>
      <c r="S2" s="8"/>
      <c r="T2" s="8"/>
      <c r="U2" s="8"/>
    </row>
    <row r="3" spans="1:21" x14ac:dyDescent="0.3">
      <c r="A3" s="4" t="str">
        <f>gurobi!A3</f>
        <v>(5, 4, 10, 1)</v>
      </c>
      <c r="B3" s="6"/>
      <c r="C3" s="6"/>
      <c r="D3" s="6"/>
      <c r="E3" s="6"/>
      <c r="F3" s="6"/>
      <c r="G3" s="6"/>
      <c r="H3" s="6"/>
      <c r="I3" s="6"/>
      <c r="J3" s="6"/>
      <c r="K3" s="6"/>
      <c r="L3" s="9"/>
      <c r="M3" s="8"/>
      <c r="N3" s="8"/>
      <c r="O3" s="8"/>
      <c r="P3" s="8"/>
      <c r="Q3" s="8"/>
      <c r="R3" s="8"/>
      <c r="S3" s="8"/>
      <c r="T3" s="8"/>
      <c r="U3" s="8"/>
    </row>
    <row r="4" spans="1:21" x14ac:dyDescent="0.3">
      <c r="A4" s="4" t="str">
        <f>gurobi!A4</f>
        <v>(10, 15, 20, 1)</v>
      </c>
      <c r="B4" s="6"/>
      <c r="C4" s="6"/>
      <c r="D4" s="6"/>
      <c r="E4" s="6"/>
      <c r="F4" s="6"/>
      <c r="G4" s="6"/>
      <c r="H4" s="6"/>
      <c r="I4" s="6"/>
      <c r="J4" s="6"/>
      <c r="K4" s="6"/>
      <c r="L4" s="9"/>
      <c r="M4" s="8"/>
      <c r="N4" s="8"/>
      <c r="O4" s="8"/>
      <c r="P4" s="8"/>
      <c r="Q4" s="8"/>
      <c r="R4" s="8"/>
      <c r="S4" s="8"/>
      <c r="T4" s="8"/>
      <c r="U4" s="8"/>
    </row>
    <row r="5" spans="1:21" x14ac:dyDescent="0.3">
      <c r="A5" s="4" t="str">
        <f>gurobi!A5</f>
        <v>(15, 20, 30, 1)</v>
      </c>
      <c r="B5" s="6"/>
      <c r="C5" s="6"/>
      <c r="D5" s="6"/>
      <c r="E5" s="6"/>
      <c r="F5" s="6"/>
      <c r="G5" s="6"/>
      <c r="H5" s="6"/>
      <c r="I5" s="6"/>
      <c r="J5" s="6"/>
      <c r="K5" s="6"/>
      <c r="L5" s="7"/>
      <c r="M5" s="8"/>
      <c r="N5" s="8"/>
      <c r="O5" s="8"/>
      <c r="P5" s="8"/>
      <c r="Q5" s="8"/>
      <c r="R5" s="8"/>
      <c r="S5" s="8"/>
      <c r="T5" s="8"/>
      <c r="U5" s="8"/>
    </row>
    <row r="6" spans="1:21" x14ac:dyDescent="0.3">
      <c r="A6" s="4" t="str">
        <f>gurobi!A6</f>
        <v>(25, 50, 70, 2)</v>
      </c>
      <c r="B6" s="6"/>
      <c r="C6" s="6"/>
      <c r="D6" s="6"/>
      <c r="E6" s="6"/>
      <c r="F6" s="6"/>
      <c r="G6" s="6"/>
      <c r="H6" s="6"/>
      <c r="I6" s="6"/>
      <c r="J6" s="6"/>
      <c r="K6" s="6"/>
      <c r="L6" s="9"/>
      <c r="M6" s="8"/>
      <c r="N6" s="8"/>
      <c r="O6" s="8"/>
      <c r="P6" s="8"/>
      <c r="Q6" s="8"/>
      <c r="R6" s="8"/>
      <c r="S6" s="8"/>
      <c r="T6" s="8"/>
      <c r="U6" s="8"/>
    </row>
    <row r="7" spans="1:21" x14ac:dyDescent="0.3">
      <c r="A7" s="4" t="str">
        <f>gurobi!A7</f>
        <v>(50, 70, 100, 2)</v>
      </c>
      <c r="B7" s="6"/>
      <c r="C7" s="6"/>
      <c r="D7" s="6"/>
      <c r="E7" s="6"/>
      <c r="F7" s="6"/>
      <c r="G7" s="6"/>
      <c r="H7" s="6"/>
      <c r="I7" s="6"/>
      <c r="J7" s="6"/>
      <c r="K7" s="6"/>
      <c r="L7" s="9"/>
      <c r="M7" s="8"/>
      <c r="N7" s="8"/>
      <c r="O7" s="8"/>
      <c r="P7" s="8"/>
      <c r="Q7" s="8"/>
      <c r="R7" s="8"/>
      <c r="S7" s="8"/>
      <c r="T7" s="8"/>
      <c r="U7" s="8"/>
    </row>
    <row r="8" spans="1:21" x14ac:dyDescent="0.3">
      <c r="A8" s="4" t="str">
        <f>gurobi!A8</f>
        <v>(70, 100, 100, 3)</v>
      </c>
      <c r="B8" s="6"/>
      <c r="C8" s="6"/>
      <c r="D8" s="6"/>
      <c r="E8" s="6"/>
      <c r="F8" s="6"/>
      <c r="G8" s="6"/>
      <c r="H8" s="6"/>
      <c r="I8" s="6"/>
      <c r="J8" s="6"/>
      <c r="K8" s="6"/>
      <c r="L8" s="9"/>
      <c r="M8" s="8"/>
      <c r="N8" s="8"/>
      <c r="O8" s="8"/>
      <c r="P8" s="8"/>
      <c r="Q8" s="8"/>
      <c r="R8" s="8"/>
      <c r="S8" s="8"/>
      <c r="T8" s="8"/>
      <c r="U8" s="8"/>
    </row>
    <row r="9" spans="1:21" x14ac:dyDescent="0.3">
      <c r="A9" s="4" t="str">
        <f>gurobi!A9</f>
        <v>(100, 120, 120, 3)</v>
      </c>
      <c r="B9" s="6">
        <v>120.6</v>
      </c>
      <c r="C9" s="20"/>
      <c r="D9" s="6"/>
      <c r="E9" s="6"/>
      <c r="F9" s="6"/>
      <c r="G9" s="6"/>
      <c r="H9" s="6"/>
      <c r="I9" s="6"/>
      <c r="J9" s="6"/>
      <c r="K9" s="6"/>
      <c r="L9" s="9">
        <v>1516871.41</v>
      </c>
      <c r="M9" s="8"/>
      <c r="N9" s="8"/>
      <c r="O9" s="8"/>
      <c r="P9" s="8"/>
      <c r="Q9" s="8"/>
      <c r="R9" s="8"/>
      <c r="S9" s="8"/>
      <c r="T9" s="8"/>
      <c r="U9" s="8"/>
    </row>
    <row r="10" spans="1:21" x14ac:dyDescent="0.3">
      <c r="A10" s="4" t="str">
        <f>gurobi!A10</f>
        <v>(100, 150, 150, 4)</v>
      </c>
      <c r="B10" s="27"/>
      <c r="C10" s="6"/>
      <c r="D10" s="6"/>
      <c r="E10" s="6"/>
      <c r="F10" s="6"/>
      <c r="G10" s="6"/>
      <c r="H10" s="6"/>
      <c r="I10" s="6"/>
      <c r="J10" s="6"/>
      <c r="K10" s="6"/>
      <c r="L10" s="9"/>
      <c r="M10" s="8"/>
      <c r="N10" s="8"/>
      <c r="O10" s="8"/>
      <c r="P10" s="8"/>
      <c r="Q10" s="8"/>
      <c r="R10" s="8"/>
      <c r="S10" s="8"/>
      <c r="T10" s="8"/>
      <c r="U10" s="8"/>
    </row>
    <row r="11" spans="1:21" x14ac:dyDescent="0.3">
      <c r="A11" s="4" t="str">
        <f>gurobi!A11</f>
        <v>(100, 150, 170, 4)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9"/>
      <c r="M11" s="8"/>
      <c r="N11" s="8"/>
      <c r="O11" s="8"/>
      <c r="P11" s="8"/>
      <c r="Q11" s="8"/>
      <c r="R11" s="8"/>
      <c r="S11" s="8"/>
      <c r="T11" s="8"/>
      <c r="U11" s="8"/>
    </row>
    <row r="12" spans="1:21" x14ac:dyDescent="0.3">
      <c r="A12" s="4" t="str">
        <f>gurobi!A12</f>
        <v>(150, 150, 170, 5)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9"/>
      <c r="M12" s="8"/>
      <c r="N12" s="8"/>
      <c r="O12" s="8"/>
      <c r="P12" s="8"/>
      <c r="Q12" s="8"/>
      <c r="R12" s="8"/>
      <c r="S12" s="8"/>
      <c r="T12" s="8"/>
      <c r="U12" s="8"/>
    </row>
    <row r="13" spans="1:21" x14ac:dyDescent="0.3">
      <c r="A13" s="4" t="str">
        <f>gurobi!A13</f>
        <v>(200, 200, 200, 5)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1"/>
      <c r="M13" s="12"/>
      <c r="N13" s="12"/>
      <c r="O13" s="12"/>
      <c r="P13" s="12"/>
      <c r="Q13" s="12"/>
      <c r="R13" s="12"/>
      <c r="S13" s="12"/>
      <c r="T13" s="12"/>
      <c r="U13" s="1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U13"/>
  <sheetViews>
    <sheetView workbookViewId="0">
      <selection activeCell="D26" sqref="D26"/>
    </sheetView>
  </sheetViews>
  <sheetFormatPr baseColWidth="10" defaultColWidth="8.88671875" defaultRowHeight="14.4" x14ac:dyDescent="0.3"/>
  <cols>
    <col min="1" max="1" width="15" style="13" bestFit="1" customWidth="1"/>
    <col min="2" max="2" width="13.5546875" style="14" bestFit="1" customWidth="1"/>
    <col min="3" max="3" width="13.5546875" style="18" bestFit="1" customWidth="1"/>
    <col min="4" max="11" width="13.5546875" style="14" bestFit="1" customWidth="1"/>
    <col min="12" max="12" width="13.5546875" style="18" bestFit="1" customWidth="1"/>
    <col min="13" max="21" width="13.5546875" style="15" bestFit="1" customWidth="1"/>
  </cols>
  <sheetData>
    <row r="1" spans="1:21" x14ac:dyDescent="0.3">
      <c r="A1" s="1" t="s">
        <v>0</v>
      </c>
      <c r="B1" s="2" t="s">
        <v>1</v>
      </c>
      <c r="C1" s="16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7" t="s">
        <v>11</v>
      </c>
      <c r="M1" s="2" t="s">
        <v>12</v>
      </c>
      <c r="N1" s="3" t="s">
        <v>13</v>
      </c>
      <c r="O1" s="2" t="s">
        <v>14</v>
      </c>
      <c r="P1" s="3" t="s">
        <v>15</v>
      </c>
      <c r="Q1" s="2" t="s">
        <v>16</v>
      </c>
      <c r="R1" s="3" t="s">
        <v>17</v>
      </c>
      <c r="S1" s="2" t="s">
        <v>18</v>
      </c>
      <c r="T1" s="3" t="s">
        <v>19</v>
      </c>
      <c r="U1" s="2" t="s">
        <v>20</v>
      </c>
    </row>
    <row r="2" spans="1:21" x14ac:dyDescent="0.3">
      <c r="A2" s="4" t="str">
        <f>gurobi!A2</f>
        <v>(2, 3, 4, 1)</v>
      </c>
      <c r="B2" s="5"/>
      <c r="C2" s="5"/>
      <c r="D2" s="5"/>
      <c r="E2" s="5"/>
      <c r="F2" s="5"/>
      <c r="G2" s="5"/>
      <c r="H2" s="5"/>
      <c r="I2" s="5"/>
      <c r="J2" s="5"/>
      <c r="K2" s="6"/>
      <c r="L2" s="7"/>
      <c r="M2" s="8"/>
      <c r="N2" s="8"/>
      <c r="O2" s="8"/>
      <c r="P2" s="8"/>
      <c r="Q2" s="8"/>
      <c r="R2" s="8"/>
      <c r="S2" s="8"/>
      <c r="T2" s="8"/>
      <c r="U2" s="8"/>
    </row>
    <row r="3" spans="1:21" x14ac:dyDescent="0.3">
      <c r="A3" s="4" t="str">
        <f>gurobi!A3</f>
        <v>(5, 4, 10, 1)</v>
      </c>
      <c r="B3" s="6"/>
      <c r="C3" s="6"/>
      <c r="D3" s="6"/>
      <c r="E3" s="6"/>
      <c r="F3" s="6"/>
      <c r="G3" s="6"/>
      <c r="H3" s="6"/>
      <c r="I3" s="6"/>
      <c r="J3" s="6"/>
      <c r="K3" s="6"/>
      <c r="L3" s="9"/>
      <c r="M3" s="8"/>
      <c r="N3" s="8"/>
      <c r="O3" s="8"/>
      <c r="P3" s="8"/>
      <c r="Q3" s="8"/>
      <c r="R3" s="8"/>
      <c r="S3" s="8"/>
      <c r="T3" s="8"/>
      <c r="U3" s="8"/>
    </row>
    <row r="4" spans="1:21" x14ac:dyDescent="0.3">
      <c r="A4" s="4" t="str">
        <f>gurobi!A4</f>
        <v>(10, 15, 20, 1)</v>
      </c>
      <c r="B4" s="6"/>
      <c r="C4" s="6"/>
      <c r="D4" s="6"/>
      <c r="E4" s="6"/>
      <c r="F4" s="6"/>
      <c r="G4" s="6"/>
      <c r="H4" s="6"/>
      <c r="I4" s="6"/>
      <c r="J4" s="6"/>
      <c r="K4" s="6"/>
      <c r="L4" s="9"/>
      <c r="M4" s="8"/>
      <c r="N4" s="8"/>
      <c r="O4" s="8"/>
      <c r="P4" s="8"/>
      <c r="Q4" s="8"/>
      <c r="R4" s="8"/>
      <c r="S4" s="8"/>
      <c r="T4" s="8"/>
      <c r="U4" s="8"/>
    </row>
    <row r="5" spans="1:21" x14ac:dyDescent="0.3">
      <c r="A5" s="4" t="str">
        <f>gurobi!A5</f>
        <v>(15, 20, 30, 1)</v>
      </c>
      <c r="B5" s="6"/>
      <c r="C5" s="6"/>
      <c r="D5" s="6"/>
      <c r="E5" s="6"/>
      <c r="F5" s="6"/>
      <c r="G5" s="6"/>
      <c r="H5" s="6"/>
      <c r="I5" s="6"/>
      <c r="J5" s="6"/>
      <c r="K5" s="6"/>
      <c r="L5" s="7"/>
      <c r="M5" s="8"/>
      <c r="N5" s="8"/>
      <c r="O5" s="8"/>
      <c r="P5" s="8"/>
      <c r="Q5" s="8"/>
      <c r="R5" s="8"/>
      <c r="S5" s="8"/>
      <c r="T5" s="8"/>
      <c r="U5" s="8"/>
    </row>
    <row r="6" spans="1:21" x14ac:dyDescent="0.3">
      <c r="A6" s="4" t="str">
        <f>gurobi!A6</f>
        <v>(25, 50, 70, 2)</v>
      </c>
      <c r="B6" s="6"/>
      <c r="C6" s="6"/>
      <c r="D6" s="6"/>
      <c r="E6" s="6"/>
      <c r="F6" s="6"/>
      <c r="G6" s="6"/>
      <c r="H6" s="6"/>
      <c r="I6" s="6"/>
      <c r="J6" s="6"/>
      <c r="K6" s="6"/>
      <c r="L6" s="9"/>
      <c r="M6" s="8"/>
      <c r="N6" s="8"/>
      <c r="O6" s="8"/>
      <c r="P6" s="8"/>
      <c r="Q6" s="8"/>
      <c r="R6" s="8"/>
      <c r="S6" s="8"/>
      <c r="T6" s="8"/>
      <c r="U6" s="8"/>
    </row>
    <row r="7" spans="1:21" x14ac:dyDescent="0.3">
      <c r="A7" s="4" t="str">
        <f>gurobi!A7</f>
        <v>(50, 70, 100, 2)</v>
      </c>
      <c r="B7" s="6"/>
      <c r="C7" s="6"/>
      <c r="D7" s="6"/>
      <c r="E7" s="6"/>
      <c r="F7" s="6"/>
      <c r="G7" s="6"/>
      <c r="H7" s="6"/>
      <c r="I7" s="6"/>
      <c r="J7" s="6"/>
      <c r="K7" s="6"/>
      <c r="L7" s="9"/>
      <c r="M7" s="8"/>
      <c r="N7" s="8"/>
      <c r="O7" s="8"/>
      <c r="P7" s="8"/>
      <c r="Q7" s="8"/>
      <c r="R7" s="8"/>
      <c r="S7" s="8"/>
      <c r="T7" s="8"/>
      <c r="U7" s="8"/>
    </row>
    <row r="8" spans="1:21" x14ac:dyDescent="0.3">
      <c r="A8" s="4" t="str">
        <f>gurobi!A8</f>
        <v>(70, 100, 100, 3)</v>
      </c>
      <c r="B8" s="6"/>
      <c r="C8" s="6"/>
      <c r="D8" s="6"/>
      <c r="E8" s="6"/>
      <c r="F8" s="6"/>
      <c r="G8" s="6"/>
      <c r="H8" s="6"/>
      <c r="I8" s="6"/>
      <c r="J8" s="6"/>
      <c r="K8" s="6"/>
      <c r="L8" s="9"/>
      <c r="M8" s="8"/>
      <c r="N8" s="8"/>
      <c r="O8" s="8"/>
      <c r="P8" s="8"/>
      <c r="Q8" s="8"/>
      <c r="R8" s="8"/>
      <c r="S8" s="8"/>
      <c r="T8" s="8"/>
      <c r="U8" s="8"/>
    </row>
    <row r="9" spans="1:21" x14ac:dyDescent="0.3">
      <c r="A9" s="4" t="str">
        <f>gurobi!A9</f>
        <v>(100, 120, 120, 3)</v>
      </c>
      <c r="B9" s="6">
        <v>50.94</v>
      </c>
      <c r="C9" s="6"/>
      <c r="D9" s="6"/>
      <c r="E9" s="6"/>
      <c r="F9" s="6"/>
      <c r="G9" s="6"/>
      <c r="H9" s="6"/>
      <c r="I9" s="6"/>
      <c r="J9" s="6"/>
      <c r="K9" s="6"/>
      <c r="L9" s="9">
        <v>1514618.44</v>
      </c>
      <c r="M9" s="8"/>
      <c r="N9" s="8"/>
      <c r="O9" s="8"/>
      <c r="P9" s="8"/>
      <c r="Q9" s="8"/>
      <c r="R9" s="8"/>
      <c r="S9" s="8"/>
      <c r="T9" s="8"/>
      <c r="U9" s="8"/>
    </row>
    <row r="10" spans="1:21" x14ac:dyDescent="0.3">
      <c r="A10" s="4" t="str">
        <f>gurobi!A10</f>
        <v>(100, 150, 150, 4)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9"/>
      <c r="M10" s="8"/>
      <c r="N10" s="8"/>
      <c r="O10" s="8"/>
      <c r="P10" s="8"/>
      <c r="Q10" s="8"/>
      <c r="R10" s="8"/>
      <c r="S10" s="8"/>
      <c r="T10" s="8"/>
      <c r="U10" s="8"/>
    </row>
    <row r="11" spans="1:21" x14ac:dyDescent="0.3">
      <c r="A11" s="4" t="str">
        <f>gurobi!A11</f>
        <v>(100, 150, 170, 4)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9"/>
      <c r="M11" s="8"/>
      <c r="N11" s="8"/>
      <c r="O11" s="8"/>
      <c r="P11" s="8"/>
      <c r="Q11" s="8"/>
      <c r="R11" s="8"/>
      <c r="S11" s="8"/>
      <c r="T11" s="8"/>
      <c r="U11" s="8"/>
    </row>
    <row r="12" spans="1:21" x14ac:dyDescent="0.3">
      <c r="A12" s="4" t="str">
        <f>gurobi!A12</f>
        <v>(150, 150, 170, 5)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9"/>
      <c r="M12" s="8"/>
      <c r="N12" s="8"/>
      <c r="O12" s="8"/>
      <c r="P12" s="8"/>
      <c r="Q12" s="8"/>
      <c r="R12" s="8"/>
      <c r="S12" s="8"/>
      <c r="T12" s="8"/>
      <c r="U12" s="8"/>
    </row>
    <row r="13" spans="1:21" x14ac:dyDescent="0.3">
      <c r="A13" s="4" t="str">
        <f>gurobi!A13</f>
        <v>(200, 200, 200, 5)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1"/>
      <c r="M13" s="12"/>
      <c r="N13" s="12"/>
      <c r="O13" s="12"/>
      <c r="P13" s="12"/>
      <c r="Q13" s="12"/>
      <c r="R13" s="12"/>
      <c r="S13" s="12"/>
      <c r="T13" s="12"/>
      <c r="U13" s="1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U13"/>
  <sheetViews>
    <sheetView workbookViewId="0">
      <selection activeCell="C31" sqref="C31"/>
    </sheetView>
  </sheetViews>
  <sheetFormatPr baseColWidth="10" defaultColWidth="8.88671875" defaultRowHeight="14.4" x14ac:dyDescent="0.3"/>
  <cols>
    <col min="1" max="1" width="15" style="13" bestFit="1" customWidth="1"/>
    <col min="2" max="2" width="13.5546875" style="18" bestFit="1" customWidth="1"/>
    <col min="3" max="11" width="13.5546875" style="14" bestFit="1" customWidth="1"/>
    <col min="12" max="12" width="13.5546875" style="18" bestFit="1" customWidth="1"/>
    <col min="13" max="21" width="13.5546875" style="15" bestFit="1" customWidth="1"/>
  </cols>
  <sheetData>
    <row r="1" spans="1:21" x14ac:dyDescent="0.3">
      <c r="A1" s="1" t="s">
        <v>0</v>
      </c>
      <c r="B1" s="16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7" t="s">
        <v>11</v>
      </c>
      <c r="M1" s="2" t="s">
        <v>12</v>
      </c>
      <c r="N1" s="3" t="s">
        <v>13</v>
      </c>
      <c r="O1" s="2" t="s">
        <v>14</v>
      </c>
      <c r="P1" s="3" t="s">
        <v>15</v>
      </c>
      <c r="Q1" s="2" t="s">
        <v>16</v>
      </c>
      <c r="R1" s="3" t="s">
        <v>17</v>
      </c>
      <c r="S1" s="2" t="s">
        <v>18</v>
      </c>
      <c r="T1" s="3" t="s">
        <v>19</v>
      </c>
      <c r="U1" s="2" t="s">
        <v>20</v>
      </c>
    </row>
    <row r="2" spans="1:21" x14ac:dyDescent="0.3">
      <c r="A2" s="4" t="s">
        <v>21</v>
      </c>
      <c r="B2" s="5"/>
      <c r="C2" s="5"/>
      <c r="D2" s="5"/>
      <c r="E2" s="5"/>
      <c r="F2" s="5"/>
      <c r="G2" s="5"/>
      <c r="H2" s="5"/>
      <c r="I2" s="5"/>
      <c r="J2" s="5"/>
      <c r="K2" s="6"/>
      <c r="L2" s="7"/>
      <c r="M2" s="8"/>
      <c r="N2" s="8"/>
      <c r="O2" s="8"/>
      <c r="P2" s="8"/>
      <c r="Q2" s="8"/>
      <c r="R2" s="8"/>
      <c r="S2" s="8"/>
      <c r="T2" s="8"/>
      <c r="U2" s="8"/>
    </row>
    <row r="3" spans="1:21" x14ac:dyDescent="0.3">
      <c r="A3" s="4" t="s">
        <v>22</v>
      </c>
      <c r="B3" s="6"/>
      <c r="C3" s="6"/>
      <c r="D3" s="6"/>
      <c r="E3" s="6"/>
      <c r="F3" s="6"/>
      <c r="G3" s="6"/>
      <c r="H3" s="6"/>
      <c r="I3" s="6"/>
      <c r="J3" s="6"/>
      <c r="K3" s="6"/>
      <c r="L3" s="9"/>
      <c r="M3" s="8"/>
      <c r="N3" s="8"/>
      <c r="O3" s="8"/>
      <c r="P3" s="8"/>
      <c r="Q3" s="8"/>
      <c r="R3" s="8"/>
      <c r="S3" s="8"/>
      <c r="T3" s="8"/>
      <c r="U3" s="8"/>
    </row>
    <row r="4" spans="1:21" x14ac:dyDescent="0.3">
      <c r="A4" s="4" t="s">
        <v>23</v>
      </c>
      <c r="B4" s="6"/>
      <c r="C4" s="6"/>
      <c r="D4" s="6"/>
      <c r="E4" s="6"/>
      <c r="F4" s="6"/>
      <c r="G4" s="6"/>
      <c r="H4" s="6"/>
      <c r="I4" s="6"/>
      <c r="J4" s="6"/>
      <c r="K4" s="6"/>
      <c r="L4" s="9"/>
      <c r="M4" s="8"/>
      <c r="N4" s="8"/>
      <c r="O4" s="8"/>
      <c r="P4" s="8"/>
      <c r="Q4" s="8"/>
      <c r="R4" s="8"/>
      <c r="S4" s="8"/>
      <c r="T4" s="8"/>
      <c r="U4" s="8"/>
    </row>
    <row r="5" spans="1:21" x14ac:dyDescent="0.3">
      <c r="A5" s="4" t="s">
        <v>24</v>
      </c>
      <c r="B5" s="6"/>
      <c r="C5" s="6"/>
      <c r="D5" s="6"/>
      <c r="E5" s="6"/>
      <c r="F5" s="6"/>
      <c r="G5" s="6"/>
      <c r="H5" s="6"/>
      <c r="I5" s="6"/>
      <c r="J5" s="6"/>
      <c r="K5" s="6"/>
      <c r="L5" s="7"/>
      <c r="M5" s="8"/>
      <c r="N5" s="8"/>
      <c r="O5" s="8"/>
      <c r="P5" s="8"/>
      <c r="Q5" s="8"/>
      <c r="R5" s="8"/>
      <c r="S5" s="8"/>
      <c r="T5" s="8"/>
      <c r="U5" s="8"/>
    </row>
    <row r="6" spans="1:21" x14ac:dyDescent="0.3">
      <c r="A6" s="4" t="s">
        <v>25</v>
      </c>
      <c r="B6" s="6"/>
      <c r="C6" s="6"/>
      <c r="D6" s="6"/>
      <c r="E6" s="6"/>
      <c r="F6" s="6"/>
      <c r="G6" s="6"/>
      <c r="H6" s="6"/>
      <c r="I6" s="6"/>
      <c r="J6" s="6"/>
      <c r="K6" s="6"/>
      <c r="L6" s="9"/>
      <c r="M6" s="8"/>
      <c r="N6" s="8"/>
      <c r="O6" s="8"/>
      <c r="P6" s="8"/>
      <c r="Q6" s="8"/>
      <c r="R6" s="8"/>
      <c r="S6" s="8"/>
      <c r="T6" s="8"/>
      <c r="U6" s="8"/>
    </row>
    <row r="7" spans="1:21" x14ac:dyDescent="0.3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9"/>
      <c r="M7" s="8"/>
      <c r="N7" s="8"/>
      <c r="O7" s="8"/>
      <c r="P7" s="8"/>
      <c r="Q7" s="8"/>
      <c r="R7" s="8"/>
      <c r="S7" s="8"/>
      <c r="T7" s="8"/>
      <c r="U7" s="8"/>
    </row>
    <row r="8" spans="1:21" x14ac:dyDescent="0.3">
      <c r="A8" s="4" t="s">
        <v>27</v>
      </c>
      <c r="B8" s="6"/>
      <c r="C8" s="6"/>
      <c r="D8" s="6"/>
      <c r="E8" s="6"/>
      <c r="F8" s="6"/>
      <c r="G8" s="6"/>
      <c r="H8" s="6"/>
      <c r="I8" s="6"/>
      <c r="J8" s="6"/>
      <c r="K8" s="6"/>
      <c r="L8" s="9"/>
      <c r="M8" s="8"/>
      <c r="N8" s="8"/>
      <c r="O8" s="8"/>
      <c r="P8" s="8"/>
      <c r="Q8" s="8"/>
      <c r="R8" s="8"/>
      <c r="S8" s="8"/>
      <c r="T8" s="8"/>
      <c r="U8" s="8"/>
    </row>
    <row r="9" spans="1:21" x14ac:dyDescent="0.3">
      <c r="A9" s="4" t="str">
        <f>gurobi!A9</f>
        <v>(100, 120, 120, 3)</v>
      </c>
      <c r="B9" s="6" t="s">
        <v>28</v>
      </c>
      <c r="C9" s="6"/>
      <c r="D9" s="6"/>
      <c r="E9" s="6"/>
      <c r="F9" s="6"/>
      <c r="G9" s="6"/>
      <c r="H9" s="6"/>
      <c r="I9" s="6"/>
      <c r="J9" s="6"/>
      <c r="K9" s="6"/>
      <c r="L9" s="9">
        <v>1532085.41</v>
      </c>
      <c r="M9" s="8"/>
      <c r="N9" s="8"/>
      <c r="O9" s="8"/>
      <c r="P9" s="8"/>
      <c r="Q9" s="8"/>
      <c r="R9" s="8"/>
      <c r="S9" s="8"/>
      <c r="T9" s="8"/>
      <c r="U9" s="8"/>
    </row>
    <row r="10" spans="1:21" x14ac:dyDescent="0.3">
      <c r="A10" s="4" t="str">
        <f>gurobi!A10</f>
        <v>(100, 150, 150, 4)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9"/>
      <c r="M10" s="8"/>
      <c r="N10" s="8"/>
      <c r="O10" s="8"/>
      <c r="P10" s="8"/>
      <c r="Q10" s="8"/>
      <c r="R10" s="8"/>
      <c r="S10" s="8"/>
      <c r="T10" s="8"/>
      <c r="U10" s="8"/>
    </row>
    <row r="11" spans="1:21" x14ac:dyDescent="0.3">
      <c r="A11" s="4" t="str">
        <f>gurobi!A11</f>
        <v>(100, 150, 170, 4)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9"/>
      <c r="M11" s="8"/>
      <c r="N11" s="8"/>
      <c r="O11" s="8"/>
      <c r="P11" s="8"/>
      <c r="Q11" s="8"/>
      <c r="R11" s="8"/>
      <c r="S11" s="8"/>
      <c r="T11" s="8"/>
      <c r="U11" s="8"/>
    </row>
    <row r="12" spans="1:21" x14ac:dyDescent="0.3">
      <c r="A12" s="4" t="str">
        <f>gurobi!A12</f>
        <v>(150, 150, 170, 5)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9"/>
      <c r="M12" s="8"/>
      <c r="N12" s="8"/>
      <c r="O12" s="8"/>
      <c r="P12" s="8"/>
      <c r="Q12" s="8"/>
      <c r="R12" s="8"/>
      <c r="S12" s="8"/>
      <c r="T12" s="8"/>
      <c r="U12" s="8"/>
    </row>
    <row r="13" spans="1:21" x14ac:dyDescent="0.3">
      <c r="A13" s="4" t="str">
        <f>gurobi!A13</f>
        <v>(200, 200, 200, 5)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1"/>
      <c r="M13" s="12"/>
      <c r="N13" s="12"/>
      <c r="O13" s="12"/>
      <c r="P13" s="12"/>
      <c r="Q13" s="12"/>
      <c r="R13" s="12"/>
      <c r="S13" s="12"/>
      <c r="T13" s="12"/>
      <c r="U13" s="1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U13"/>
  <sheetViews>
    <sheetView tabSelected="1" workbookViewId="0">
      <selection activeCell="J24" sqref="J24"/>
    </sheetView>
  </sheetViews>
  <sheetFormatPr baseColWidth="10" defaultColWidth="8.88671875" defaultRowHeight="14.4" x14ac:dyDescent="0.3"/>
  <cols>
    <col min="1" max="1" width="15" style="13" bestFit="1" customWidth="1"/>
    <col min="2" max="12" width="13.5546875" style="14" bestFit="1" customWidth="1"/>
    <col min="13" max="21" width="13.5546875" style="15" bestFit="1" customWidth="1"/>
  </cols>
  <sheetData>
    <row r="1" spans="1:2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3" t="s">
        <v>13</v>
      </c>
      <c r="O1" s="2" t="s">
        <v>14</v>
      </c>
      <c r="P1" s="3" t="s">
        <v>15</v>
      </c>
      <c r="Q1" s="2" t="s">
        <v>16</v>
      </c>
      <c r="R1" s="3" t="s">
        <v>17</v>
      </c>
      <c r="S1" s="2" t="s">
        <v>18</v>
      </c>
      <c r="T1" s="3" t="s">
        <v>19</v>
      </c>
      <c r="U1" s="2" t="s">
        <v>20</v>
      </c>
    </row>
    <row r="2" spans="1:21" x14ac:dyDescent="0.3">
      <c r="A2" s="4" t="s">
        <v>21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9"/>
      <c r="M2" s="30"/>
      <c r="N2" s="30"/>
      <c r="O2" s="30"/>
      <c r="P2" s="30"/>
      <c r="Q2" s="30"/>
      <c r="R2" s="30"/>
      <c r="S2" s="30"/>
      <c r="T2" s="30"/>
      <c r="U2" s="30"/>
    </row>
    <row r="3" spans="1:21" x14ac:dyDescent="0.3">
      <c r="A3" s="4" t="s">
        <v>22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9"/>
      <c r="M3" s="30"/>
      <c r="N3" s="30"/>
      <c r="O3" s="30"/>
      <c r="P3" s="30"/>
      <c r="Q3" s="30"/>
      <c r="R3" s="30"/>
      <c r="S3" s="30"/>
      <c r="T3" s="30"/>
      <c r="U3" s="30"/>
    </row>
    <row r="4" spans="1:21" x14ac:dyDescent="0.3">
      <c r="A4" s="4" t="s">
        <v>23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/>
      <c r="M4" s="30"/>
      <c r="N4" s="30"/>
      <c r="O4" s="30"/>
      <c r="P4" s="30"/>
      <c r="Q4" s="30"/>
      <c r="R4" s="30"/>
      <c r="S4" s="30"/>
      <c r="T4" s="30"/>
      <c r="U4" s="30"/>
    </row>
    <row r="5" spans="1:21" x14ac:dyDescent="0.3">
      <c r="A5" s="4" t="s">
        <v>24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30"/>
      <c r="N5" s="30"/>
      <c r="O5" s="30"/>
      <c r="P5" s="30"/>
      <c r="Q5" s="30"/>
      <c r="R5" s="30"/>
      <c r="S5" s="30"/>
      <c r="T5" s="30"/>
      <c r="U5" s="30"/>
    </row>
    <row r="6" spans="1:21" x14ac:dyDescent="0.3">
      <c r="A6" s="4" t="s">
        <v>25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9"/>
      <c r="M6" s="30"/>
      <c r="N6" s="30"/>
      <c r="O6" s="30"/>
      <c r="P6" s="30"/>
      <c r="Q6" s="30"/>
      <c r="R6" s="30"/>
      <c r="S6" s="30"/>
      <c r="T6" s="30"/>
      <c r="U6" s="30"/>
    </row>
    <row r="7" spans="1:21" x14ac:dyDescent="0.3">
      <c r="A7" s="4" t="s">
        <v>26</v>
      </c>
      <c r="B7" s="28"/>
      <c r="C7" s="28"/>
      <c r="D7" s="28"/>
      <c r="E7" s="28"/>
      <c r="F7" s="28"/>
      <c r="G7" s="28"/>
      <c r="H7" s="28"/>
      <c r="I7" s="28"/>
      <c r="J7" s="28"/>
      <c r="K7" s="28"/>
      <c r="L7" s="29"/>
      <c r="M7" s="30"/>
      <c r="N7" s="30"/>
      <c r="O7" s="30"/>
      <c r="P7" s="30"/>
      <c r="Q7" s="30"/>
      <c r="R7" s="30"/>
      <c r="S7" s="30"/>
      <c r="T7" s="30"/>
      <c r="U7" s="30"/>
    </row>
    <row r="8" spans="1:21" x14ac:dyDescent="0.3">
      <c r="A8" s="4" t="s">
        <v>27</v>
      </c>
      <c r="B8" s="28"/>
      <c r="C8" s="28"/>
      <c r="D8" s="28"/>
      <c r="E8" s="28"/>
      <c r="F8" s="28"/>
      <c r="G8" s="28"/>
      <c r="H8" s="28"/>
      <c r="I8" s="28"/>
      <c r="J8" s="28"/>
      <c r="K8" s="28"/>
      <c r="L8" s="29"/>
      <c r="M8" s="30"/>
      <c r="N8" s="30"/>
      <c r="O8" s="30"/>
      <c r="P8" s="30"/>
      <c r="Q8" s="30"/>
      <c r="R8" s="30"/>
      <c r="S8" s="30"/>
      <c r="T8" s="30"/>
      <c r="U8" s="30"/>
    </row>
    <row r="9" spans="1:21" x14ac:dyDescent="0.3">
      <c r="A9" s="4" t="str">
        <f>gurobi!A9</f>
        <v>(100, 120, 120, 3)</v>
      </c>
      <c r="B9" s="28">
        <v>89.89</v>
      </c>
      <c r="C9" s="28">
        <v>46.27</v>
      </c>
      <c r="D9" s="28"/>
      <c r="E9" s="28"/>
      <c r="F9" s="28"/>
      <c r="G9" s="28"/>
      <c r="H9" s="28"/>
      <c r="I9" s="28"/>
      <c r="J9" s="28"/>
      <c r="K9" s="28"/>
      <c r="L9" s="29">
        <v>1565462.2</v>
      </c>
      <c r="M9" s="30">
        <v>1540639.67</v>
      </c>
      <c r="N9" s="30"/>
      <c r="O9" s="30"/>
      <c r="P9" s="30"/>
      <c r="Q9" s="30"/>
      <c r="R9" s="30"/>
      <c r="S9" s="30"/>
      <c r="T9" s="30"/>
      <c r="U9" s="30"/>
    </row>
    <row r="10" spans="1:21" x14ac:dyDescent="0.3">
      <c r="A10" s="4" t="str">
        <f>gurobi!A10</f>
        <v>(100, 150, 150, 4)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9"/>
      <c r="M10" s="30"/>
      <c r="N10" s="30"/>
      <c r="O10" s="30"/>
      <c r="P10" s="30"/>
      <c r="Q10" s="30"/>
      <c r="R10" s="30"/>
      <c r="S10" s="30"/>
      <c r="T10" s="30"/>
      <c r="U10" s="30"/>
    </row>
    <row r="11" spans="1:21" x14ac:dyDescent="0.3">
      <c r="A11" s="4" t="str">
        <f>gurobi!A11</f>
        <v>(100, 150, 170, 4)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9"/>
      <c r="M11" s="30"/>
      <c r="N11" s="30"/>
      <c r="O11" s="30"/>
      <c r="P11" s="30"/>
      <c r="Q11" s="30"/>
      <c r="R11" s="30"/>
      <c r="S11" s="30"/>
      <c r="T11" s="30"/>
      <c r="U11" s="30"/>
    </row>
    <row r="12" spans="1:21" x14ac:dyDescent="0.3">
      <c r="A12" s="4" t="str">
        <f>gurobi!A12</f>
        <v>(150, 150, 170, 5)</v>
      </c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9"/>
      <c r="M12" s="30"/>
      <c r="N12" s="30"/>
      <c r="O12" s="30"/>
      <c r="P12" s="30"/>
      <c r="Q12" s="30"/>
      <c r="R12" s="30"/>
      <c r="S12" s="30"/>
      <c r="T12" s="30"/>
      <c r="U12" s="30"/>
    </row>
    <row r="13" spans="1:21" x14ac:dyDescent="0.3">
      <c r="A13" s="4" t="str">
        <f>gurobi!A13</f>
        <v>(200, 200, 200, 5)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2"/>
      <c r="M13" s="33"/>
      <c r="N13" s="33"/>
      <c r="O13" s="33"/>
      <c r="P13" s="33"/>
      <c r="Q13" s="33"/>
      <c r="R13" s="33"/>
      <c r="S13" s="33"/>
      <c r="T13" s="33"/>
      <c r="U13" s="3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gurobi</vt:lpstr>
      <vt:lpstr>vns</vt:lpstr>
      <vt:lpstr>vns-ql</vt:lpstr>
      <vt:lpstr>as</vt:lpstr>
      <vt:lpstr>as-ql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Clément BAMOGO</cp:lastModifiedBy>
  <dcterms:created xsi:type="dcterms:W3CDTF">2026-01-21T15:39:10Z</dcterms:created>
  <dcterms:modified xsi:type="dcterms:W3CDTF">2026-01-21T15:55:10Z</dcterms:modified>
</cp:coreProperties>
</file>