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uirabat-my.sharepoint.com/personal/clement_bamogo_uir_ac_ma/Documents/Bureau/PhD/Paper 1/Code/lef-paper/Result_computational/"/>
    </mc:Choice>
  </mc:AlternateContent>
  <xr:revisionPtr revIDLastSave="34" documentId="11_C2193305CE47D68277FEB3D59C6A24CDFADA478F" xr6:coauthVersionLast="47" xr6:coauthVersionMax="47" xr10:uidLastSave="{B71AAB7B-8E97-46F0-A8E6-5DCABE391D68}"/>
  <bookViews>
    <workbookView xWindow="-120" yWindow="-120" windowWidth="29040" windowHeight="15720" activeTab="1" xr2:uid="{00000000-000D-0000-FFFF-FFFF00000000}"/>
  </bookViews>
  <sheets>
    <sheet name="gurobi" sheetId="1" r:id="rId1"/>
    <sheet name="vns" sheetId="2" r:id="rId2"/>
    <sheet name="vns-ql" sheetId="3" r:id="rId3"/>
    <sheet name="as" sheetId="4" r:id="rId4"/>
    <sheet name="as-q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5" l="1"/>
  <c r="A12" i="5"/>
  <c r="A11" i="5"/>
  <c r="A10" i="5"/>
  <c r="A9" i="5"/>
  <c r="A13" i="4"/>
  <c r="A12" i="4"/>
  <c r="A11" i="4"/>
  <c r="A10" i="4"/>
  <c r="A9" i="4"/>
  <c r="A13" i="3"/>
  <c r="A12" i="3"/>
  <c r="A11" i="3"/>
  <c r="A10" i="3"/>
  <c r="A9" i="3"/>
  <c r="A8" i="3"/>
  <c r="A7" i="3"/>
  <c r="A6" i="3"/>
  <c r="A5" i="3"/>
  <c r="A4" i="3"/>
  <c r="A3" i="3"/>
  <c r="A2" i="3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<sst xmlns="http://schemas.openxmlformats.org/spreadsheetml/2006/main" count="147" uniqueCount="63">
  <si>
    <t>Instance</t>
  </si>
  <si>
    <t>time_1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</si>
  <si>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</si>
  <si>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</si>
  <si>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</si>
  <si>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</si>
  <si>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</si>
  <si>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</si>
  <si>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</si>
  <si>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</si>
  <si>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</si>
  <si>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cost_1</t>
  </si>
  <si>
    <t>cost_2</t>
  </si>
  <si>
    <t>cost_3</t>
  </si>
  <si>
    <t>cost_4</t>
  </si>
  <si>
    <t>cost_5</t>
  </si>
  <si>
    <t>cost_6</t>
  </si>
  <si>
    <t>cost_7</t>
  </si>
  <si>
    <t>cost_8</t>
  </si>
  <si>
    <t>cost_9</t>
  </si>
  <si>
    <t>cost_10</t>
  </si>
  <si>
    <t>(2, 3, 4, 1)</t>
  </si>
  <si>
    <t>(5, 4, 10, 1)</t>
  </si>
  <si>
    <t>(10, 15, 20, 1)</t>
  </si>
  <si>
    <t>(15, 20, 30, 1)</t>
  </si>
  <si>
    <t>(25, 50, 70, 2)</t>
  </si>
  <si>
    <t>(50, 70, 100, 2)</t>
  </si>
  <si>
    <t>(70, 100, 100, 3)</t>
  </si>
  <si>
    <t xml:space="preserve">28554.02 </t>
  </si>
  <si>
    <t xml:space="preserve">61403.82 </t>
  </si>
  <si>
    <t xml:space="preserve">192846.27 </t>
  </si>
  <si>
    <t xml:space="preserve">290975.89 </t>
  </si>
  <si>
    <t xml:space="preserve">711158.43 </t>
  </si>
  <si>
    <t xml:space="preserve">1910534.0 </t>
  </si>
  <si>
    <t>cost</t>
  </si>
  <si>
    <t>gap</t>
  </si>
  <si>
    <t>(2, 2, 4, 1)</t>
  </si>
  <si>
    <t>(10, 8, 20, 2)</t>
  </si>
  <si>
    <t>(70, 120, 100, 3)</t>
  </si>
  <si>
    <t>(100, 120, 100, 4)</t>
  </si>
  <si>
    <t>(150, 120, 130, 4)</t>
  </si>
  <si>
    <t>(200 130, 150, 5)</t>
  </si>
  <si>
    <t>(300, 140, 170, 5)</t>
  </si>
  <si>
    <t>(400, 150, 170 ,6)</t>
  </si>
  <si>
    <t>(600, 150, 200, 6)</t>
  </si>
  <si>
    <t>4326299.94</t>
  </si>
  <si>
    <t>4370946.37</t>
  </si>
  <si>
    <t>4340219.54</t>
  </si>
  <si>
    <t>4386255.65</t>
  </si>
  <si>
    <t>4361183.17</t>
  </si>
  <si>
    <t>4364451.50</t>
  </si>
  <si>
    <t>4339039.96</t>
  </si>
  <si>
    <t>4334098.06</t>
  </si>
  <si>
    <t>4335936.39</t>
  </si>
  <si>
    <t>1921.17</t>
  </si>
  <si>
    <t>1588.64</t>
  </si>
  <si>
    <t>1419.77</t>
  </si>
  <si>
    <t>1042.33</t>
  </si>
  <si>
    <t>1287.62</t>
  </si>
  <si>
    <t>1274.77</t>
  </si>
  <si>
    <t>1414.16</t>
  </si>
  <si>
    <t>1470.75</t>
  </si>
  <si>
    <t>1167.70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</si>
</sst>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"/>
    <numFmt numFmtId="166" formatCode="#,##0.00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569CD6"/>
      <name val="Consolas"/>
      <family val="2"/>
    </font>
    <font>
      <sz val="8"/>
      <color rgb="FFCCCCCC"/>
      <name val="Consola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5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4" fontId="1" fillId="0" borderId="7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4" fontId="2" fillId="0" borderId="9" xfId="0" applyNumberFormat="1" applyFont="1" applyBorder="1" applyAlignment="1">
      <alignment horizontal="left"/>
    </xf>
    <xf numFmtId="4" fontId="3" fillId="0" borderId="9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left"/>
    </xf>
    <xf numFmtId="165" fontId="1" fillId="0" borderId="9" xfId="0" applyNumberFormat="1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au1" displayName="Tableau1" ref="A1:M13" totalsRowShown="0">
  <autoFilter ref="A1:M13" xr:uid="{00000000-0009-0000-0100-000005000000}"/>
  <tableColumns count="13">
    <tableColumn id="1" xr3:uid="{00000000-0010-0000-0000-000001000000}" name="Instance"/>
    <tableColumn id="2" xr3:uid="{00000000-0010-0000-0000-000002000000}" name="time_1"/>
    <tableColumn id="3" xr3:uid="{00000000-0010-0000-0000-000003000000}" name="time_2"/>
    <tableColumn id="4" xr3:uid="{00000000-0010-0000-0000-000004000000}" name="time_3"/>
    <tableColumn id="5" xr3:uid="{00000000-0010-0000-0000-000005000000}" name="time_4"/>
    <tableColumn id="6" xr3:uid="{00000000-0010-0000-0000-000006000000}" name="time_5"/>
    <tableColumn id="7" xr3:uid="{00000000-0010-0000-0000-000007000000}" name="time_6"/>
    <tableColumn id="8" xr3:uid="{00000000-0010-0000-0000-000008000000}" name="time_7"/>
    <tableColumn id="9" xr3:uid="{00000000-0010-0000-0000-000009000000}" name="time_8"/>
    <tableColumn id="10" xr3:uid="{00000000-0010-0000-0000-00000A000000}" name="time_9"/>
    <tableColumn id="11" xr3:uid="{00000000-0010-0000-0000-00000B000000}" name="time_10"/>
    <tableColumn id="12" xr3:uid="{00000000-0010-0000-0000-00000C000000}" name="cost"/>
    <tableColumn id="13" xr3:uid="{00000000-0010-0000-0000-00000D000000}" name="gap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2" displayName="Tableau2" ref="A1:U13" totalsRowShown="0">
  <autoFilter ref="A1:U13" xr:uid="{00000000-0009-0000-0100-000004000000}"/>
  <tableColumns count="21">
    <tableColumn id="1" xr3:uid="{00000000-0010-0000-0100-000001000000}" name="Instance"/>
    <tableColumn id="2" xr3:uid="{00000000-0010-0000-0100-000002000000}" name="time_1"/>
    <tableColumn id="3" xr3:uid="{00000000-0010-0000-0100-000003000000}" name="time_2"/>
    <tableColumn id="4" xr3:uid="{00000000-0010-0000-0100-000004000000}" name="time_3"/>
    <tableColumn id="5" xr3:uid="{00000000-0010-0000-0100-000005000000}" name="time_4"/>
    <tableColumn id="6" xr3:uid="{00000000-0010-0000-0100-000006000000}" name="time_5"/>
    <tableColumn id="7" xr3:uid="{00000000-0010-0000-0100-000007000000}" name="time_6"/>
    <tableColumn id="8" xr3:uid="{00000000-0010-0000-0100-000008000000}" name="time_7"/>
    <tableColumn id="9" xr3:uid="{00000000-0010-0000-0100-000009000000}" name="time_8"/>
    <tableColumn id="10" xr3:uid="{00000000-0010-0000-0100-00000A000000}" name="time_9"/>
    <tableColumn id="11" xr3:uid="{00000000-0010-0000-0100-00000B000000}" name="time_10"/>
    <tableColumn id="12" xr3:uid="{00000000-0010-0000-0100-00000C000000}" name="cost_1"/>
    <tableColumn id="13" xr3:uid="{00000000-0010-0000-0100-00000D000000}" name="cost_2"/>
    <tableColumn id="14" xr3:uid="{00000000-0010-0000-0100-00000E000000}" name="cost_3"/>
    <tableColumn id="15" xr3:uid="{00000000-0010-0000-0100-00000F000000}" name="cost_4"/>
    <tableColumn id="16" xr3:uid="{00000000-0010-0000-0100-000010000000}" name="cost_5"/>
    <tableColumn id="17" xr3:uid="{00000000-0010-0000-0100-000011000000}" name="cost_6"/>
    <tableColumn id="18" xr3:uid="{00000000-0010-0000-0100-000012000000}" name="cost_7"/>
    <tableColumn id="19" xr3:uid="{00000000-0010-0000-0100-000013000000}" name="cost_8"/>
    <tableColumn id="20" xr3:uid="{00000000-0010-0000-0100-000014000000}" name="cost_9"/>
    <tableColumn id="21" xr3:uid="{00000000-0010-0000-0100-000015000000}" name="cost_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24" displayName="Tableau24" ref="A1:U13" totalsRowShown="0">
  <autoFilter ref="A1:U13" xr:uid="{00000000-0009-0000-0100-000003000000}"/>
  <tableColumns count="21">
    <tableColumn id="1" xr3:uid="{00000000-0010-0000-0200-000001000000}" name="Instance"/>
    <tableColumn id="2" xr3:uid="{00000000-0010-0000-0200-000002000000}" name="time_1"/>
    <tableColumn id="3" xr3:uid="{00000000-0010-0000-0200-000003000000}" name="time_2"/>
    <tableColumn id="4" xr3:uid="{00000000-0010-0000-0200-000004000000}" name="time_3"/>
    <tableColumn id="5" xr3:uid="{00000000-0010-0000-0200-000005000000}" name="time_4"/>
    <tableColumn id="6" xr3:uid="{00000000-0010-0000-0200-000006000000}" name="time_5"/>
    <tableColumn id="7" xr3:uid="{00000000-0010-0000-0200-000007000000}" name="time_6"/>
    <tableColumn id="8" xr3:uid="{00000000-0010-0000-0200-000008000000}" name="time_7"/>
    <tableColumn id="9" xr3:uid="{00000000-0010-0000-0200-000009000000}" name="time_8"/>
    <tableColumn id="10" xr3:uid="{00000000-0010-0000-0200-00000A000000}" name="time_9"/>
    <tableColumn id="11" xr3:uid="{00000000-0010-0000-0200-00000B000000}" name="time_10"/>
    <tableColumn id="12" xr3:uid="{00000000-0010-0000-0200-00000C000000}" name="cost_1"/>
    <tableColumn id="13" xr3:uid="{00000000-0010-0000-0200-00000D000000}" name="cost_2"/>
    <tableColumn id="14" xr3:uid="{00000000-0010-0000-0200-00000E000000}" name="cost_3"/>
    <tableColumn id="15" xr3:uid="{00000000-0010-0000-0200-00000F000000}" name="cost_4"/>
    <tableColumn id="16" xr3:uid="{00000000-0010-0000-0200-000010000000}" name="cost_5"/>
    <tableColumn id="17" xr3:uid="{00000000-0010-0000-0200-000011000000}" name="cost_6"/>
    <tableColumn id="18" xr3:uid="{00000000-0010-0000-0200-000012000000}" name="cost_7"/>
    <tableColumn id="19" xr3:uid="{00000000-0010-0000-0200-000013000000}" name="cost_8"/>
    <tableColumn id="20" xr3:uid="{00000000-0010-0000-0200-000014000000}" name="cost_9"/>
    <tableColumn id="21" xr3:uid="{00000000-0010-0000-0200-000015000000}" name="cost_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25" displayName="Tableau25" ref="A1:U13" totalsRowShown="0">
  <autoFilter ref="A1:U13" xr:uid="{00000000-0009-0000-0100-000002000000}"/>
  <tableColumns count="21">
    <tableColumn id="1" xr3:uid="{00000000-0010-0000-0300-000001000000}" name="Instance"/>
    <tableColumn id="2" xr3:uid="{00000000-0010-0000-0300-000002000000}" name="time_1"/>
    <tableColumn id="3" xr3:uid="{00000000-0010-0000-0300-000003000000}" name="time_2"/>
    <tableColumn id="4" xr3:uid="{00000000-0010-0000-0300-000004000000}" name="time_3"/>
    <tableColumn id="5" xr3:uid="{00000000-0010-0000-0300-000005000000}" name="time_4"/>
    <tableColumn id="6" xr3:uid="{00000000-0010-0000-0300-000006000000}" name="time_5"/>
    <tableColumn id="7" xr3:uid="{00000000-0010-0000-0300-000007000000}" name="time_6"/>
    <tableColumn id="8" xr3:uid="{00000000-0010-0000-0300-000008000000}" name="time_7"/>
    <tableColumn id="9" xr3:uid="{00000000-0010-0000-0300-000009000000}" name="time_8"/>
    <tableColumn id="10" xr3:uid="{00000000-0010-0000-0300-00000A000000}" name="time_9"/>
    <tableColumn id="11" xr3:uid="{00000000-0010-0000-0300-00000B000000}" name="time_10"/>
    <tableColumn id="12" xr3:uid="{00000000-0010-0000-0300-00000C000000}" name="cost_1"/>
    <tableColumn id="13" xr3:uid="{00000000-0010-0000-0300-00000D000000}" name="cost_2"/>
    <tableColumn id="14" xr3:uid="{00000000-0010-0000-0300-00000E000000}" name="cost_3"/>
    <tableColumn id="15" xr3:uid="{00000000-0010-0000-0300-00000F000000}" name="cost_4"/>
    <tableColumn id="16" xr3:uid="{00000000-0010-0000-0300-000010000000}" name="cost_5"/>
    <tableColumn id="17" xr3:uid="{00000000-0010-0000-0300-000011000000}" name="cost_6"/>
    <tableColumn id="18" xr3:uid="{00000000-0010-0000-0300-000012000000}" name="cost_7"/>
    <tableColumn id="19" xr3:uid="{00000000-0010-0000-0300-000013000000}" name="cost_8"/>
    <tableColumn id="20" xr3:uid="{00000000-0010-0000-0300-000014000000}" name="cost_9"/>
    <tableColumn id="21" xr3:uid="{00000000-0010-0000-0300-000015000000}" name="cost_1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au26" displayName="Tableau26" ref="A1:U13" totalsRowShown="0">
  <autoFilter ref="A1:U13" xr:uid="{00000000-0009-0000-0100-000001000000}"/>
  <tableColumns count="21">
    <tableColumn id="1" xr3:uid="{00000000-0010-0000-0400-000001000000}" name="Instance" totalsRowLabel="Total"/>
    <tableColumn id="2" xr3:uid="{00000000-0010-0000-0400-000002000000}" name="time_1"/>
    <tableColumn id="3" xr3:uid="{00000000-0010-0000-0400-000003000000}" name="time_2"/>
    <tableColumn id="4" xr3:uid="{00000000-0010-0000-0400-000004000000}" name="time_3"/>
    <tableColumn id="5" xr3:uid="{00000000-0010-0000-0400-000005000000}" name="time_4"/>
    <tableColumn id="6" xr3:uid="{00000000-0010-0000-0400-000006000000}" name="time_5"/>
    <tableColumn id="7" xr3:uid="{00000000-0010-0000-0400-000007000000}" name="time_6"/>
    <tableColumn id="8" xr3:uid="{00000000-0010-0000-0400-000008000000}" name="time_7"/>
    <tableColumn id="9" xr3:uid="{00000000-0010-0000-0400-000009000000}" name="time_8"/>
    <tableColumn id="10" xr3:uid="{00000000-0010-0000-0400-00000A000000}" name="time_9"/>
    <tableColumn id="11" xr3:uid="{00000000-0010-0000-0400-00000B000000}" name="time_10"/>
    <tableColumn id="12" xr3:uid="{00000000-0010-0000-0400-00000C000000}" name="cost_1"/>
    <tableColumn id="13" xr3:uid="{00000000-0010-0000-0400-00000D000000}" name="cost_2"/>
    <tableColumn id="14" xr3:uid="{00000000-0010-0000-0400-00000E000000}" name="cost_3"/>
    <tableColumn id="15" xr3:uid="{00000000-0010-0000-0400-00000F000000}" name="cost_4"/>
    <tableColumn id="16" xr3:uid="{00000000-0010-0000-0400-000010000000}" name="cost_5"/>
    <tableColumn id="17" xr3:uid="{00000000-0010-0000-0400-000011000000}" name="cost_6"/>
    <tableColumn id="18" xr3:uid="{00000000-0010-0000-0400-000012000000}" name="cost_7"/>
    <tableColumn id="19" xr3:uid="{00000000-0010-0000-0400-000013000000}" name="cost_8"/>
    <tableColumn id="20" xr3:uid="{00000000-0010-0000-0400-000014000000}" name="cost_9"/>
    <tableColumn id="21" xr3:uid="{00000000-0010-0000-0400-000015000000}" name="cost_10" totalsRowFunction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3"/>
  <sheetViews>
    <sheetView zoomScaleNormal="100" workbookViewId="0">
      <selection activeCell="B22" sqref="B22"/>
    </sheetView>
  </sheetViews>
  <sheetFormatPr baseColWidth="10" defaultColWidth="9.140625" defaultRowHeight="15" x14ac:dyDescent="0.25"/>
  <cols>
    <col min="1" max="1" width="15.42578125" style="13" bestFit="1" customWidth="1"/>
    <col min="2" max="10" width="13.5703125" style="14" bestFit="1" customWidth="1"/>
    <col min="11" max="11" width="12.28515625" style="14" bestFit="1" customWidth="1"/>
    <col min="12" max="12" width="12.85546875" style="14" bestFit="1" customWidth="1"/>
    <col min="13" max="13" width="13.5703125" style="37" bestFit="1" customWidth="1"/>
    <col min="14" max="14" width="13.5703125" bestFit="1" customWidth="1"/>
    <col min="15" max="15" width="17.7109375" bestFit="1" customWidth="1"/>
    <col min="16" max="23" width="13.5703125" bestFit="1" customWidth="1"/>
  </cols>
  <sheetData>
    <row r="1" spans="1:23" x14ac:dyDescent="0.2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34</v>
      </c>
      <c r="M1" s="32" t="s">
        <v>35</v>
      </c>
    </row>
    <row r="2" spans="1:23" x14ac:dyDescent="0.25">
      <c r="A2" s="27" t="s">
        <v>36</v>
      </c>
      <c r="B2" s="33">
        <v>0</v>
      </c>
      <c r="C2" s="33">
        <v>0.02</v>
      </c>
      <c r="D2" s="33">
        <v>0</v>
      </c>
      <c r="E2" s="33">
        <v>0</v>
      </c>
      <c r="F2" s="33">
        <v>0.02</v>
      </c>
      <c r="G2" s="33">
        <v>0</v>
      </c>
      <c r="H2" s="33">
        <v>0.02</v>
      </c>
      <c r="I2" s="33">
        <v>0</v>
      </c>
      <c r="J2" s="33">
        <v>0</v>
      </c>
      <c r="K2" s="30">
        <v>0</v>
      </c>
      <c r="L2" s="30">
        <v>28554.02</v>
      </c>
      <c r="M2" s="34">
        <v>0</v>
      </c>
    </row>
    <row r="3" spans="1:23" x14ac:dyDescent="0.25">
      <c r="A3" s="27" t="s">
        <v>22</v>
      </c>
      <c r="B3" s="30">
        <v>0.03</v>
      </c>
      <c r="C3" s="30">
        <v>0.02</v>
      </c>
      <c r="D3" s="30">
        <v>0.02</v>
      </c>
      <c r="E3" s="30">
        <v>0.05</v>
      </c>
      <c r="F3" s="30">
        <v>0.02</v>
      </c>
      <c r="G3" s="30">
        <v>0.02</v>
      </c>
      <c r="H3" s="30">
        <v>0.02</v>
      </c>
      <c r="I3" s="30">
        <v>0.02</v>
      </c>
      <c r="J3" s="30">
        <v>0.06</v>
      </c>
      <c r="K3" s="30">
        <v>0.06</v>
      </c>
      <c r="L3" s="30">
        <v>61402.879999999997</v>
      </c>
      <c r="M3" s="34">
        <v>6.7000000000000002E-5</v>
      </c>
    </row>
    <row r="4" spans="1:23" x14ac:dyDescent="0.25">
      <c r="A4" s="27" t="s">
        <v>37</v>
      </c>
      <c r="B4" s="30">
        <v>0.33</v>
      </c>
      <c r="C4" s="30">
        <v>0.3</v>
      </c>
      <c r="D4" s="30">
        <v>0.33</v>
      </c>
      <c r="E4" s="30">
        <v>0.33</v>
      </c>
      <c r="F4" s="30">
        <v>0.39</v>
      </c>
      <c r="G4" s="30">
        <v>0.33</v>
      </c>
      <c r="H4" s="30">
        <v>0.3</v>
      </c>
      <c r="I4" s="30">
        <v>0.28000000000000003</v>
      </c>
      <c r="J4" s="30">
        <v>0.3</v>
      </c>
      <c r="K4" s="30">
        <v>0.48</v>
      </c>
      <c r="L4" s="30">
        <v>192817.2</v>
      </c>
      <c r="M4" s="34">
        <v>9.8999999999999994E-5</v>
      </c>
      <c r="W4" s="27"/>
    </row>
    <row r="5" spans="1:23" x14ac:dyDescent="0.25">
      <c r="A5" s="27" t="s">
        <v>24</v>
      </c>
      <c r="B5" s="30">
        <v>3.03</v>
      </c>
      <c r="C5" s="30">
        <v>2.86</v>
      </c>
      <c r="D5" s="30">
        <v>2.84</v>
      </c>
      <c r="E5" s="30">
        <v>2.89</v>
      </c>
      <c r="F5" s="30">
        <v>2.72</v>
      </c>
      <c r="G5" s="30">
        <v>2.8</v>
      </c>
      <c r="H5" s="30">
        <v>2.83</v>
      </c>
      <c r="I5" s="30">
        <v>3.06</v>
      </c>
      <c r="J5" s="30">
        <v>2.67</v>
      </c>
      <c r="K5" s="30">
        <v>2.92</v>
      </c>
      <c r="L5" s="30">
        <v>290932.3</v>
      </c>
      <c r="M5" s="34">
        <v>4.8000000000000001E-5</v>
      </c>
    </row>
    <row r="6" spans="1:23" x14ac:dyDescent="0.25">
      <c r="A6" s="27" t="s">
        <v>25</v>
      </c>
      <c r="B6" s="30">
        <v>116.16</v>
      </c>
      <c r="C6" s="30">
        <v>128.44999999999999</v>
      </c>
      <c r="D6" s="30">
        <v>123.7</v>
      </c>
      <c r="E6" s="30">
        <v>128.66</v>
      </c>
      <c r="F6" s="30">
        <v>129.91</v>
      </c>
      <c r="G6" s="30">
        <v>128.55000000000001</v>
      </c>
      <c r="H6" s="30">
        <v>133.06</v>
      </c>
      <c r="I6" s="30">
        <v>133.52000000000001</v>
      </c>
      <c r="J6" s="30">
        <v>133.09</v>
      </c>
      <c r="K6" s="30">
        <v>128.16999999999999</v>
      </c>
      <c r="L6" s="30">
        <v>710215.25</v>
      </c>
      <c r="M6" s="34">
        <v>0</v>
      </c>
    </row>
    <row r="7" spans="1:23" x14ac:dyDescent="0.25">
      <c r="A7" s="27" t="s">
        <v>38</v>
      </c>
      <c r="B7" s="30">
        <v>646.80999999999995</v>
      </c>
      <c r="C7" s="30">
        <v>678.86</v>
      </c>
      <c r="D7" s="30">
        <v>748.56</v>
      </c>
      <c r="E7" s="30">
        <v>710.08</v>
      </c>
      <c r="F7" s="30">
        <v>977.73</v>
      </c>
      <c r="G7" s="30">
        <v>1025.17</v>
      </c>
      <c r="H7" s="30">
        <v>774.86</v>
      </c>
      <c r="I7" s="30">
        <v>1030.7</v>
      </c>
      <c r="J7" s="30">
        <v>1053.55</v>
      </c>
      <c r="K7" s="30">
        <v>513.23</v>
      </c>
      <c r="L7" s="30">
        <v>1374194.39</v>
      </c>
      <c r="M7" s="34">
        <v>1E-3</v>
      </c>
    </row>
    <row r="8" spans="1:23" x14ac:dyDescent="0.25">
      <c r="A8" s="27" t="s">
        <v>39</v>
      </c>
      <c r="B8" s="30">
        <v>1672.39</v>
      </c>
      <c r="C8" s="30">
        <v>1033.0899999999999</v>
      </c>
      <c r="D8" s="30">
        <v>985.86</v>
      </c>
      <c r="E8" s="30">
        <v>1017.84</v>
      </c>
      <c r="F8" s="30">
        <v>1043.8900000000001</v>
      </c>
      <c r="G8" s="30">
        <v>839.36</v>
      </c>
      <c r="H8" s="30">
        <v>1958.77</v>
      </c>
      <c r="I8" s="30">
        <v>732.67</v>
      </c>
      <c r="J8" s="30">
        <v>745.95</v>
      </c>
      <c r="K8" s="30">
        <v>782.64</v>
      </c>
      <c r="L8" s="30">
        <v>1907714.3</v>
      </c>
      <c r="M8" s="34">
        <v>1.6000000000000001E-3</v>
      </c>
      <c r="P8" s="35"/>
    </row>
    <row r="9" spans="1:23" x14ac:dyDescent="0.25">
      <c r="A9" s="27" t="s">
        <v>40</v>
      </c>
      <c r="B9" s="30">
        <v>3980.02</v>
      </c>
      <c r="C9" s="30">
        <v>1913.55</v>
      </c>
      <c r="D9" s="30">
        <v>2101.44</v>
      </c>
      <c r="E9" s="30">
        <v>3344.53</v>
      </c>
      <c r="F9" s="30">
        <v>2159.2199999999998</v>
      </c>
      <c r="G9" s="30">
        <v>4236.3599999999997</v>
      </c>
      <c r="H9" s="30">
        <v>2052.48</v>
      </c>
      <c r="I9" s="30">
        <v>2674.78</v>
      </c>
      <c r="J9" s="30">
        <v>2802.53</v>
      </c>
      <c r="K9" s="30">
        <v>1964.47</v>
      </c>
      <c r="L9" s="30">
        <v>2230454.0699999998</v>
      </c>
      <c r="M9" s="34">
        <v>6.0000000000000001E-3</v>
      </c>
      <c r="P9" s="35"/>
    </row>
    <row r="10" spans="1:23" x14ac:dyDescent="0.25">
      <c r="A10" s="36" t="s">
        <v>41</v>
      </c>
      <c r="B10" s="30">
        <v>6979.64</v>
      </c>
      <c r="C10" s="30">
        <v>8071.2</v>
      </c>
      <c r="D10" s="30">
        <v>10467.879999999999</v>
      </c>
      <c r="E10" s="30">
        <v>8208.31</v>
      </c>
      <c r="F10" s="30">
        <v>5195.03</v>
      </c>
      <c r="G10" s="30">
        <v>7207.39</v>
      </c>
      <c r="H10" s="30">
        <v>6371.33</v>
      </c>
      <c r="I10" s="30">
        <v>4532.47</v>
      </c>
      <c r="J10" s="30">
        <v>5503.8</v>
      </c>
      <c r="K10" s="30">
        <v>4557.2</v>
      </c>
      <c r="L10" s="30">
        <v>3526470.86</v>
      </c>
      <c r="M10" s="34">
        <v>8.1000000000000004E-5</v>
      </c>
      <c r="P10" s="35"/>
    </row>
    <row r="11" spans="1:23" x14ac:dyDescent="0.25">
      <c r="A11" s="36" t="s">
        <v>42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23" x14ac:dyDescent="0.25">
      <c r="A12" s="36" t="s">
        <v>43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3"/>
    </row>
    <row r="13" spans="1:23" x14ac:dyDescent="0.25">
      <c r="A13" s="36" t="s">
        <v>44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3"/>
  <sheetViews>
    <sheetView tabSelected="1" zoomScaleNormal="100" workbookViewId="0">
      <selection activeCell="C32" sqref="C32"/>
    </sheetView>
  </sheetViews>
  <sheetFormatPr baseColWidth="10" defaultColWidth="9.140625" defaultRowHeight="15" x14ac:dyDescent="0.25"/>
  <cols>
    <col min="1" max="1" width="15.42578125" style="13" bestFit="1" customWidth="1"/>
    <col min="2" max="12" width="13.5703125" style="14" bestFit="1" customWidth="1"/>
    <col min="13" max="21" width="13.5703125" style="16" bestFit="1" customWidth="1"/>
  </cols>
  <sheetData>
    <row r="1" spans="1:21" x14ac:dyDescent="0.2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27" t="str">
        <f>gurobi!A2</f>
        <v>(2, 2, 4, 1)</v>
      </c>
      <c r="B2" s="29">
        <v>0</v>
      </c>
      <c r="C2" s="30">
        <v>0.02</v>
      </c>
      <c r="D2" s="30">
        <v>0.02</v>
      </c>
      <c r="E2" s="30">
        <v>0.02</v>
      </c>
      <c r="F2" s="30">
        <v>0.02</v>
      </c>
      <c r="G2" s="30">
        <v>0.02</v>
      </c>
      <c r="H2" s="30">
        <v>0.02</v>
      </c>
      <c r="I2" s="30">
        <v>0.02</v>
      </c>
      <c r="J2" s="29">
        <v>0</v>
      </c>
      <c r="K2" s="29">
        <v>0</v>
      </c>
      <c r="L2" s="30">
        <v>28554.02</v>
      </c>
      <c r="M2" s="30">
        <v>28554.02</v>
      </c>
      <c r="N2" s="30">
        <v>28554.02</v>
      </c>
      <c r="O2" s="30">
        <v>28554.02</v>
      </c>
      <c r="P2" s="30">
        <v>28554.02</v>
      </c>
      <c r="Q2" s="30">
        <v>28554.02</v>
      </c>
      <c r="R2" s="30">
        <v>28554.02</v>
      </c>
      <c r="S2" s="30">
        <v>28554.02</v>
      </c>
      <c r="T2" s="30">
        <v>28554.02</v>
      </c>
      <c r="U2" s="30">
        <v>28554.02</v>
      </c>
    </row>
    <row r="3" spans="1:21" x14ac:dyDescent="0.25">
      <c r="A3" s="27" t="str">
        <f>gurobi!A3</f>
        <v>(5, 4, 10, 1)</v>
      </c>
      <c r="B3" s="30">
        <v>0.05</v>
      </c>
      <c r="C3" s="30">
        <v>0.05</v>
      </c>
      <c r="D3" s="30">
        <v>0.03</v>
      </c>
      <c r="E3" s="30">
        <v>0.05</v>
      </c>
      <c r="F3" s="30">
        <v>0.05</v>
      </c>
      <c r="G3" s="30">
        <v>0.05</v>
      </c>
      <c r="H3" s="30">
        <v>0.05</v>
      </c>
      <c r="I3" s="30">
        <v>0.03</v>
      </c>
      <c r="J3" s="30">
        <v>0.05</v>
      </c>
      <c r="K3" s="30">
        <v>0.05</v>
      </c>
      <c r="L3" s="30">
        <v>61411.519999999997</v>
      </c>
      <c r="M3" s="30">
        <v>61402.05</v>
      </c>
      <c r="N3" s="30">
        <v>61404.51</v>
      </c>
      <c r="O3" s="30">
        <v>61424.07</v>
      </c>
      <c r="P3" s="30">
        <v>61402.05</v>
      </c>
      <c r="Q3" s="30">
        <v>61403.82</v>
      </c>
      <c r="R3" s="30">
        <v>61402.05</v>
      </c>
      <c r="S3" s="30">
        <v>61405.36</v>
      </c>
      <c r="T3" s="30">
        <v>61424.07</v>
      </c>
      <c r="U3" s="30">
        <v>61403.82</v>
      </c>
    </row>
    <row r="4" spans="1:21" x14ac:dyDescent="0.25">
      <c r="A4" s="27" t="str">
        <f>gurobi!A4</f>
        <v>(10, 8, 20, 2)</v>
      </c>
      <c r="B4" s="30">
        <v>0.2</v>
      </c>
      <c r="C4" s="30">
        <v>0.19</v>
      </c>
      <c r="D4" s="30">
        <v>0.2</v>
      </c>
      <c r="E4" s="30">
        <v>0.19</v>
      </c>
      <c r="F4" s="30">
        <v>0.2</v>
      </c>
      <c r="G4" s="30">
        <v>0.19</v>
      </c>
      <c r="H4" s="30">
        <v>0.2</v>
      </c>
      <c r="I4" s="30">
        <v>0.19</v>
      </c>
      <c r="J4" s="30">
        <v>0.19</v>
      </c>
      <c r="K4" s="30">
        <v>0.2</v>
      </c>
      <c r="L4" s="30">
        <v>192857.02</v>
      </c>
      <c r="M4" s="30">
        <v>192846.27</v>
      </c>
      <c r="N4" s="30">
        <v>192856.15</v>
      </c>
      <c r="O4" s="30">
        <v>192842.51</v>
      </c>
      <c r="P4" s="30">
        <v>192825.13</v>
      </c>
      <c r="Q4" s="30">
        <v>192843.64</v>
      </c>
      <c r="R4" s="30">
        <v>192867.44</v>
      </c>
      <c r="S4" s="30">
        <v>192856.15</v>
      </c>
      <c r="T4" s="30">
        <v>192884.08</v>
      </c>
      <c r="U4" s="30">
        <v>192872.82</v>
      </c>
    </row>
    <row r="5" spans="1:21" x14ac:dyDescent="0.25">
      <c r="A5" s="27" t="str">
        <f>gurobi!A5</f>
        <v>(15, 20, 30, 1)</v>
      </c>
      <c r="B5" s="30">
        <v>1.23</v>
      </c>
      <c r="C5" s="30">
        <v>1.22</v>
      </c>
      <c r="D5" s="30">
        <v>1.36</v>
      </c>
      <c r="E5" s="30">
        <v>1.17</v>
      </c>
      <c r="F5" s="30">
        <v>1.19</v>
      </c>
      <c r="G5" s="30">
        <v>1.08</v>
      </c>
      <c r="H5" s="30">
        <v>1.27</v>
      </c>
      <c r="I5" s="30">
        <v>1.23</v>
      </c>
      <c r="J5" s="30">
        <v>1.1599999999999999</v>
      </c>
      <c r="K5" s="30">
        <v>1.22</v>
      </c>
      <c r="L5" s="30">
        <v>291904.17</v>
      </c>
      <c r="M5" s="30">
        <v>291263.86</v>
      </c>
      <c r="N5" s="30">
        <v>290950.53000000003</v>
      </c>
      <c r="O5" s="30">
        <v>291144.53000000003</v>
      </c>
      <c r="P5" s="30">
        <v>291543.15000000002</v>
      </c>
      <c r="Q5" s="30">
        <v>290936.46000000002</v>
      </c>
      <c r="R5" s="30">
        <v>291477.56</v>
      </c>
      <c r="S5" s="30">
        <v>292439.37</v>
      </c>
      <c r="T5" s="30">
        <v>291150.51</v>
      </c>
      <c r="U5" s="30">
        <v>291290.58</v>
      </c>
    </row>
    <row r="6" spans="1:21" x14ac:dyDescent="0.25">
      <c r="A6" s="27" t="str">
        <f>gurobi!A6</f>
        <v>(25, 50, 70, 2)</v>
      </c>
      <c r="B6" s="30">
        <v>19.52</v>
      </c>
      <c r="C6" s="30">
        <v>20.47</v>
      </c>
      <c r="D6" s="30">
        <v>19.11</v>
      </c>
      <c r="E6" s="30">
        <v>19.36</v>
      </c>
      <c r="F6" s="30">
        <v>19.309999999999999</v>
      </c>
      <c r="G6" s="30">
        <v>20</v>
      </c>
      <c r="H6" s="30">
        <v>20.41</v>
      </c>
      <c r="I6" s="30">
        <v>19.52</v>
      </c>
      <c r="J6" s="30">
        <v>20.69</v>
      </c>
      <c r="K6" s="30">
        <v>19.75</v>
      </c>
      <c r="L6" s="30">
        <v>723284.68</v>
      </c>
      <c r="M6" s="30">
        <v>714035.71</v>
      </c>
      <c r="N6" s="30">
        <v>719929.95</v>
      </c>
      <c r="O6" s="30">
        <v>715054.11</v>
      </c>
      <c r="P6" s="30">
        <v>714593.66</v>
      </c>
      <c r="Q6" s="30">
        <v>726714.47</v>
      </c>
      <c r="R6" s="30">
        <v>719481.75</v>
      </c>
      <c r="S6" s="30">
        <v>717993.5</v>
      </c>
      <c r="T6" s="30">
        <v>712159.6</v>
      </c>
      <c r="U6" s="30">
        <v>715419.4</v>
      </c>
    </row>
    <row r="7" spans="1:21" x14ac:dyDescent="0.25">
      <c r="A7" s="27" t="str">
        <f>gurobi!A7</f>
        <v>(70, 120, 100, 3)</v>
      </c>
      <c r="B7" s="30">
        <v>61.23</v>
      </c>
      <c r="C7" s="30">
        <v>56.41</v>
      </c>
      <c r="D7" s="30">
        <v>59.12</v>
      </c>
      <c r="E7" s="30">
        <v>61.31</v>
      </c>
      <c r="F7" s="30">
        <v>95.75</v>
      </c>
      <c r="G7" s="30">
        <v>54.33</v>
      </c>
      <c r="H7" s="30">
        <v>59.89</v>
      </c>
      <c r="I7" s="30">
        <v>50.58</v>
      </c>
      <c r="J7" s="30">
        <v>59</v>
      </c>
      <c r="K7" s="30">
        <v>57.45</v>
      </c>
      <c r="L7" s="30">
        <v>1388376.54</v>
      </c>
      <c r="M7" s="30">
        <v>1388355.56</v>
      </c>
      <c r="N7" s="30">
        <v>1388215.42</v>
      </c>
      <c r="O7" s="30">
        <v>1382598.05</v>
      </c>
      <c r="P7" s="30">
        <v>1391922.72</v>
      </c>
      <c r="Q7" s="30">
        <v>1391143.93</v>
      </c>
      <c r="R7" s="30">
        <v>1390704.03</v>
      </c>
      <c r="S7" s="30">
        <v>1410890.76</v>
      </c>
      <c r="T7" s="30">
        <v>1385373.34</v>
      </c>
      <c r="U7" s="30">
        <v>1389960.24</v>
      </c>
    </row>
    <row r="8" spans="1:21" x14ac:dyDescent="0.25">
      <c r="A8" s="27" t="str">
        <f>gurobi!A8</f>
        <v>(100, 120, 100, 4)</v>
      </c>
      <c r="B8" s="30">
        <v>196.38</v>
      </c>
      <c r="C8" s="30">
        <v>165.25</v>
      </c>
      <c r="D8" s="30">
        <v>199.86</v>
      </c>
      <c r="E8" s="30"/>
      <c r="F8" s="30"/>
      <c r="G8" s="30"/>
      <c r="H8" s="30"/>
      <c r="I8" s="30"/>
      <c r="J8" s="30"/>
      <c r="K8" s="30"/>
      <c r="L8" s="30">
        <v>1915676.15</v>
      </c>
      <c r="M8" s="31">
        <v>1933737.83</v>
      </c>
      <c r="N8" s="31">
        <v>1942692.16</v>
      </c>
      <c r="O8" s="31"/>
      <c r="P8" s="31"/>
      <c r="Q8" s="31"/>
      <c r="R8" s="31"/>
      <c r="S8" s="31"/>
      <c r="T8" s="31"/>
      <c r="U8" s="31"/>
    </row>
    <row r="9" spans="1:21" x14ac:dyDescent="0.25">
      <c r="A9" s="27" t="str">
        <f>gurobi!A9</f>
        <v>(150, 120, 130, 4)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1"/>
      <c r="N9" s="31"/>
      <c r="O9" s="31"/>
      <c r="P9" s="31"/>
      <c r="Q9" s="31"/>
      <c r="R9" s="31"/>
      <c r="S9" s="31"/>
      <c r="T9" s="31"/>
      <c r="U9" s="31"/>
    </row>
    <row r="10" spans="1:21" x14ac:dyDescent="0.25">
      <c r="A10" s="27" t="str">
        <f>gurobi!A10</f>
        <v>(200 130, 150, 5)</v>
      </c>
      <c r="B10" s="28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</row>
    <row r="11" spans="1:21" x14ac:dyDescent="0.25">
      <c r="A11" s="27" t="str">
        <f>gurobi!A11</f>
        <v>(300, 140, 170, 5)</v>
      </c>
      <c r="B11" s="14" t="s">
        <v>54</v>
      </c>
      <c r="C11" s="14" t="s">
        <v>55</v>
      </c>
      <c r="D11" s="14" t="s">
        <v>56</v>
      </c>
      <c r="E11" s="14" t="s">
        <v>57</v>
      </c>
      <c r="F11" s="14" t="s">
        <v>58</v>
      </c>
      <c r="G11" s="14" t="s">
        <v>59</v>
      </c>
      <c r="H11" s="14" t="s">
        <v>60</v>
      </c>
      <c r="I11" s="14" t="s">
        <v>61</v>
      </c>
      <c r="J11" s="14" t="s">
        <v>62</v>
      </c>
      <c r="K11" s="30"/>
      <c r="L11" s="14" t="s">
        <v>45</v>
      </c>
      <c r="M11" s="14" t="s">
        <v>46</v>
      </c>
      <c r="N11" s="14" t="s">
        <v>47</v>
      </c>
      <c r="O11" s="14" t="s">
        <v>48</v>
      </c>
      <c r="P11" s="14" t="s">
        <v>49</v>
      </c>
      <c r="Q11" s="14" t="s">
        <v>50</v>
      </c>
      <c r="R11" s="14" t="s">
        <v>51</v>
      </c>
      <c r="S11" s="14" t="s">
        <v>52</v>
      </c>
      <c r="T11" s="14" t="s">
        <v>53</v>
      </c>
      <c r="U11" s="31"/>
    </row>
    <row r="12" spans="1:21" x14ac:dyDescent="0.25">
      <c r="A12" s="27" t="str">
        <f>gurobi!A12</f>
        <v>(400, 150, 170 ,6)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  <c r="N12" s="31"/>
      <c r="O12" s="31"/>
      <c r="P12" s="31"/>
      <c r="Q12" s="31"/>
      <c r="R12" s="31"/>
      <c r="S12" s="31"/>
      <c r="T12" s="31"/>
      <c r="U12" s="31"/>
    </row>
    <row r="13" spans="1:21" x14ac:dyDescent="0.25">
      <c r="A13" s="27" t="str">
        <f>gurobi!A13</f>
        <v>(600, 150, 200, 6)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1"/>
      <c r="O13" s="31"/>
      <c r="P13" s="31"/>
      <c r="Q13" s="31"/>
      <c r="R13" s="31"/>
      <c r="S13" s="31"/>
      <c r="T13" s="31"/>
      <c r="U13" s="3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13"/>
  <sheetViews>
    <sheetView workbookViewId="0">
      <selection activeCell="J21" sqref="J21"/>
    </sheetView>
  </sheetViews>
  <sheetFormatPr baseColWidth="10" defaultColWidth="9.140625" defaultRowHeight="15" x14ac:dyDescent="0.25"/>
  <cols>
    <col min="1" max="1" width="15" style="13" bestFit="1" customWidth="1"/>
    <col min="2" max="2" width="13.5703125" style="15" bestFit="1" customWidth="1"/>
    <col min="3" max="3" width="13.5703125" style="14" bestFit="1" customWidth="1"/>
    <col min="4" max="12" width="13.5703125" style="15" bestFit="1" customWidth="1"/>
    <col min="13" max="13" width="13.5703125" style="14" bestFit="1" customWidth="1"/>
    <col min="14" max="21" width="13.5703125" style="15" bestFit="1" customWidth="1"/>
  </cols>
  <sheetData>
    <row r="1" spans="1:21" x14ac:dyDescent="0.25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2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3" t="s">
        <v>20</v>
      </c>
    </row>
    <row r="2" spans="1:21" x14ac:dyDescent="0.25">
      <c r="A2" s="6" t="str">
        <f>gurobi!A2</f>
        <v>(2, 2, 4, 1)</v>
      </c>
      <c r="B2" s="18"/>
      <c r="C2" s="18">
        <v>0.08</v>
      </c>
      <c r="D2" s="18"/>
      <c r="E2" s="18"/>
      <c r="F2" s="18"/>
      <c r="G2" s="18"/>
      <c r="H2" s="18"/>
      <c r="I2" s="18"/>
      <c r="J2" s="18"/>
      <c r="K2" s="7"/>
      <c r="L2" s="19"/>
      <c r="M2" s="7" t="s">
        <v>28</v>
      </c>
      <c r="N2" s="21"/>
      <c r="O2" s="21"/>
      <c r="P2" s="21"/>
      <c r="Q2" s="21"/>
      <c r="R2" s="21"/>
      <c r="S2" s="21"/>
      <c r="T2" s="21"/>
      <c r="U2" s="21"/>
    </row>
    <row r="3" spans="1:21" x14ac:dyDescent="0.25">
      <c r="A3" s="6" t="str">
        <f>gurobi!A3</f>
        <v>(5, 4, 10, 1)</v>
      </c>
      <c r="B3" s="7"/>
      <c r="C3" s="7">
        <v>0.2</v>
      </c>
      <c r="D3" s="7"/>
      <c r="E3" s="7"/>
      <c r="F3" s="7"/>
      <c r="G3" s="7"/>
      <c r="H3" s="7"/>
      <c r="I3" s="7"/>
      <c r="J3" s="7"/>
      <c r="K3" s="7"/>
      <c r="L3" s="8"/>
      <c r="M3" s="7" t="s">
        <v>29</v>
      </c>
      <c r="N3" s="21"/>
      <c r="O3" s="21"/>
      <c r="P3" s="21"/>
      <c r="Q3" s="21"/>
      <c r="R3" s="21"/>
      <c r="S3" s="21"/>
      <c r="T3" s="21"/>
      <c r="U3" s="21"/>
    </row>
    <row r="4" spans="1:21" x14ac:dyDescent="0.25">
      <c r="A4" s="6" t="str">
        <f>gurobi!A4</f>
        <v>(10, 8, 20, 2)</v>
      </c>
      <c r="B4" s="7"/>
      <c r="C4" s="7">
        <v>0.89</v>
      </c>
      <c r="D4" s="7"/>
      <c r="E4" s="7"/>
      <c r="F4" s="7"/>
      <c r="G4" s="7"/>
      <c r="H4" s="7"/>
      <c r="I4" s="7"/>
      <c r="J4" s="7"/>
      <c r="K4" s="7"/>
      <c r="L4" s="8"/>
      <c r="M4" s="7" t="s">
        <v>30</v>
      </c>
      <c r="N4" s="21"/>
      <c r="O4" s="21"/>
      <c r="P4" s="21"/>
      <c r="Q4" s="21"/>
      <c r="R4" s="21"/>
      <c r="S4" s="21"/>
      <c r="T4" s="21"/>
      <c r="U4" s="21"/>
    </row>
    <row r="5" spans="1:21" x14ac:dyDescent="0.25">
      <c r="A5" s="6" t="str">
        <f>gurobi!A5</f>
        <v>(15, 20, 30, 1)</v>
      </c>
      <c r="B5" s="7"/>
      <c r="C5" s="7">
        <v>3.45</v>
      </c>
      <c r="D5" s="7"/>
      <c r="E5" s="7"/>
      <c r="F5" s="7"/>
      <c r="G5" s="7"/>
      <c r="H5" s="7"/>
      <c r="I5" s="7"/>
      <c r="J5" s="7"/>
      <c r="K5" s="7"/>
      <c r="L5" s="19"/>
      <c r="M5" s="7" t="s">
        <v>31</v>
      </c>
      <c r="N5" s="21"/>
      <c r="O5" s="21"/>
      <c r="P5" s="21"/>
      <c r="Q5" s="21"/>
      <c r="R5" s="21"/>
      <c r="S5" s="21"/>
      <c r="T5" s="21"/>
      <c r="U5" s="21"/>
    </row>
    <row r="6" spans="1:21" x14ac:dyDescent="0.25">
      <c r="A6" s="6" t="str">
        <f>gurobi!A6</f>
        <v>(25, 50, 70, 2)</v>
      </c>
      <c r="B6" s="7"/>
      <c r="C6" s="7">
        <v>54.56</v>
      </c>
      <c r="D6" s="7"/>
      <c r="E6" s="7"/>
      <c r="F6" s="7"/>
      <c r="G6" s="7"/>
      <c r="H6" s="7"/>
      <c r="I6" s="7"/>
      <c r="J6" s="7"/>
      <c r="K6" s="7"/>
      <c r="L6" s="8"/>
      <c r="M6" s="7" t="s">
        <v>32</v>
      </c>
      <c r="N6" s="21"/>
      <c r="O6" s="21"/>
      <c r="P6" s="21"/>
      <c r="Q6" s="21"/>
      <c r="R6" s="21"/>
      <c r="S6" s="21"/>
      <c r="T6" s="21"/>
      <c r="U6" s="21"/>
    </row>
    <row r="7" spans="1:21" x14ac:dyDescent="0.25">
      <c r="A7" s="6" t="str">
        <f>gurobi!A7</f>
        <v>(70, 120, 100, 3)</v>
      </c>
      <c r="B7" s="7"/>
      <c r="C7" s="7">
        <v>121.73</v>
      </c>
      <c r="D7" s="7"/>
      <c r="E7" s="7"/>
      <c r="F7" s="7"/>
      <c r="G7" s="7"/>
      <c r="H7" s="7"/>
      <c r="I7" s="7"/>
      <c r="J7" s="7"/>
      <c r="K7" s="7"/>
      <c r="L7" s="8"/>
      <c r="M7" s="7">
        <v>1375625.93</v>
      </c>
      <c r="N7" s="21"/>
      <c r="O7" s="21"/>
      <c r="P7" s="21"/>
      <c r="Q7" s="21"/>
      <c r="R7" s="21"/>
      <c r="S7" s="21"/>
      <c r="T7" s="21"/>
      <c r="U7" s="21"/>
    </row>
    <row r="8" spans="1:21" x14ac:dyDescent="0.25">
      <c r="A8" s="6" t="str">
        <f>gurobi!A8</f>
        <v>(100, 120, 100, 4)</v>
      </c>
      <c r="B8" s="7"/>
      <c r="C8" s="7">
        <v>145.80000000000001</v>
      </c>
      <c r="D8" s="7"/>
      <c r="E8" s="7"/>
      <c r="F8" s="7"/>
      <c r="G8" s="7"/>
      <c r="H8" s="7"/>
      <c r="I8" s="7"/>
      <c r="J8" s="7"/>
      <c r="K8" s="7"/>
      <c r="L8" s="8"/>
      <c r="M8" s="7" t="s">
        <v>33</v>
      </c>
      <c r="N8" s="21"/>
      <c r="O8" s="21"/>
      <c r="P8" s="21"/>
      <c r="Q8" s="21"/>
      <c r="R8" s="21"/>
      <c r="S8" s="21"/>
      <c r="T8" s="21"/>
      <c r="U8" s="21"/>
    </row>
    <row r="9" spans="1:21" x14ac:dyDescent="0.25">
      <c r="A9" s="6" t="str">
        <f>gurobi!A9</f>
        <v>(150, 120, 130, 4)</v>
      </c>
      <c r="B9" s="7"/>
      <c r="C9" s="7">
        <v>324.61</v>
      </c>
      <c r="D9" s="7"/>
      <c r="E9" s="7"/>
      <c r="F9" s="7"/>
      <c r="G9" s="7"/>
      <c r="H9" s="7"/>
      <c r="I9" s="7"/>
      <c r="J9" s="7"/>
      <c r="K9" s="7"/>
      <c r="L9" s="25"/>
      <c r="M9" s="8">
        <v>2231138.58</v>
      </c>
      <c r="N9" s="21"/>
      <c r="O9" s="21"/>
      <c r="P9" s="21"/>
      <c r="Q9" s="21"/>
      <c r="R9" s="21"/>
      <c r="S9" s="21"/>
      <c r="T9" s="21"/>
      <c r="U9" s="21"/>
    </row>
    <row r="10" spans="1:21" x14ac:dyDescent="0.25">
      <c r="A10" s="6" t="str">
        <f>gurobi!A10</f>
        <v>(200 130, 150, 5)</v>
      </c>
      <c r="B10" s="7"/>
      <c r="C10" s="7">
        <v>478.5</v>
      </c>
      <c r="D10" s="7"/>
      <c r="E10" s="7"/>
      <c r="F10" s="7"/>
      <c r="G10" s="7"/>
      <c r="H10" s="7"/>
      <c r="I10" s="7"/>
      <c r="J10" s="7"/>
      <c r="K10" s="7"/>
      <c r="L10" s="8"/>
      <c r="M10" s="7">
        <v>3532140.5077788699</v>
      </c>
      <c r="N10" s="21"/>
      <c r="O10" s="21"/>
      <c r="P10" s="21"/>
      <c r="Q10" s="21"/>
      <c r="R10" s="21"/>
      <c r="S10" s="21"/>
      <c r="T10" s="21"/>
      <c r="U10" s="21"/>
    </row>
    <row r="11" spans="1:21" x14ac:dyDescent="0.25">
      <c r="A11" s="6" t="str">
        <f>gurobi!A11</f>
        <v>(300, 140, 170, 5)</v>
      </c>
      <c r="B11" s="7"/>
      <c r="C11" s="7">
        <v>535.30999999999995</v>
      </c>
      <c r="D11" s="7"/>
      <c r="E11" s="7"/>
      <c r="F11" s="7"/>
      <c r="G11" s="7"/>
      <c r="H11" s="7"/>
      <c r="I11" s="7"/>
      <c r="J11" s="7"/>
      <c r="K11" s="7"/>
      <c r="L11" s="8"/>
      <c r="M11" s="7">
        <v>4371947.41</v>
      </c>
      <c r="N11" s="21"/>
      <c r="O11" s="21"/>
      <c r="P11" s="21"/>
      <c r="Q11" s="21"/>
      <c r="R11" s="21"/>
      <c r="S11" s="21"/>
      <c r="T11" s="21"/>
      <c r="U11" s="21"/>
    </row>
    <row r="12" spans="1:21" x14ac:dyDescent="0.25">
      <c r="A12" s="6" t="str">
        <f>gurobi!A12</f>
        <v>(400, 150, 170 ,6)</v>
      </c>
      <c r="B12" s="7"/>
      <c r="C12" s="7">
        <v>1660.67</v>
      </c>
      <c r="D12" s="7"/>
      <c r="E12" s="7"/>
      <c r="F12" s="7"/>
      <c r="G12" s="7"/>
      <c r="H12" s="7"/>
      <c r="I12" s="7"/>
      <c r="J12" s="7"/>
      <c r="K12" s="7"/>
      <c r="L12" s="8"/>
      <c r="M12" s="7">
        <v>5677458.7999999998</v>
      </c>
      <c r="N12" s="21"/>
      <c r="O12" s="21"/>
      <c r="P12" s="21"/>
      <c r="Q12" s="21"/>
      <c r="R12" s="21"/>
      <c r="S12" s="21"/>
      <c r="T12" s="21"/>
      <c r="U12" s="21"/>
    </row>
    <row r="13" spans="1:21" x14ac:dyDescent="0.25">
      <c r="A13" s="6" t="str">
        <f>gurobi!A13</f>
        <v>(600, 150, 200, 6)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0"/>
      <c r="N13" s="26"/>
      <c r="O13" s="26"/>
      <c r="P13" s="26"/>
      <c r="Q13" s="26"/>
      <c r="R13" s="26"/>
      <c r="S13" s="26"/>
      <c r="T13" s="26"/>
      <c r="U13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U13"/>
  <sheetViews>
    <sheetView workbookViewId="0">
      <selection activeCell="A9" sqref="A9:XFD9"/>
    </sheetView>
  </sheetViews>
  <sheetFormatPr baseColWidth="10" defaultColWidth="9.140625" defaultRowHeight="15" x14ac:dyDescent="0.25"/>
  <cols>
    <col min="1" max="1" width="15" style="13" bestFit="1" customWidth="1"/>
    <col min="2" max="2" width="13.5703125" style="15" bestFit="1" customWidth="1"/>
    <col min="3" max="3" width="13.5703125" style="14" bestFit="1" customWidth="1"/>
    <col min="4" max="12" width="13.5703125" style="15" bestFit="1" customWidth="1"/>
    <col min="13" max="13" width="13.5703125" style="16" bestFit="1" customWidth="1"/>
    <col min="14" max="21" width="13.5703125" style="17" bestFit="1" customWidth="1"/>
  </cols>
  <sheetData>
    <row r="1" spans="1:21" x14ac:dyDescent="0.25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2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3" t="s">
        <v>20</v>
      </c>
    </row>
    <row r="2" spans="1:21" x14ac:dyDescent="0.25">
      <c r="A2" s="6" t="s">
        <v>21</v>
      </c>
      <c r="B2" s="18"/>
      <c r="C2" s="18">
        <v>0.02</v>
      </c>
      <c r="D2" s="18"/>
      <c r="E2" s="18"/>
      <c r="F2" s="18"/>
      <c r="G2" s="18"/>
      <c r="H2" s="18"/>
      <c r="I2" s="18"/>
      <c r="J2" s="18"/>
      <c r="K2" s="7"/>
      <c r="L2" s="19"/>
      <c r="M2" s="9">
        <v>28554.02</v>
      </c>
      <c r="N2" s="20"/>
      <c r="O2" s="20"/>
      <c r="P2" s="20"/>
      <c r="Q2" s="20"/>
      <c r="R2" s="20"/>
      <c r="S2" s="20"/>
      <c r="T2" s="20"/>
      <c r="U2" s="20"/>
    </row>
    <row r="3" spans="1:21" x14ac:dyDescent="0.25">
      <c r="A3" s="6" t="s">
        <v>22</v>
      </c>
      <c r="B3" s="7"/>
      <c r="C3" s="7">
        <v>0.11</v>
      </c>
      <c r="D3" s="7"/>
      <c r="E3" s="7"/>
      <c r="F3" s="7"/>
      <c r="G3" s="7"/>
      <c r="H3" s="7"/>
      <c r="I3" s="7"/>
      <c r="J3" s="7"/>
      <c r="K3" s="7"/>
      <c r="L3" s="8"/>
      <c r="M3" s="9">
        <v>61404.51</v>
      </c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6" t="s">
        <v>23</v>
      </c>
      <c r="B4" s="7"/>
      <c r="C4" s="7">
        <v>0.55000000000000004</v>
      </c>
      <c r="D4" s="7"/>
      <c r="E4" s="7"/>
      <c r="F4" s="7"/>
      <c r="G4" s="7"/>
      <c r="H4" s="7"/>
      <c r="I4" s="7"/>
      <c r="J4" s="7"/>
      <c r="K4" s="7"/>
      <c r="L4" s="8"/>
      <c r="M4" s="9">
        <v>192860.78</v>
      </c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6" t="s">
        <v>24</v>
      </c>
      <c r="B5" s="7"/>
      <c r="C5" s="7">
        <v>2.33</v>
      </c>
      <c r="D5" s="7"/>
      <c r="E5" s="7"/>
      <c r="F5" s="7"/>
      <c r="G5" s="7"/>
      <c r="H5" s="7"/>
      <c r="I5" s="7"/>
      <c r="J5" s="7"/>
      <c r="K5" s="7"/>
      <c r="L5" s="19"/>
      <c r="M5" s="9">
        <v>291738.36</v>
      </c>
      <c r="N5" s="20"/>
      <c r="O5" s="20"/>
      <c r="P5" s="20"/>
      <c r="Q5" s="20"/>
      <c r="R5" s="20"/>
      <c r="S5" s="20"/>
      <c r="T5" s="20"/>
      <c r="U5" s="20"/>
    </row>
    <row r="6" spans="1:21" x14ac:dyDescent="0.25">
      <c r="A6" s="6" t="s">
        <v>25</v>
      </c>
      <c r="B6" s="7"/>
      <c r="C6" s="7">
        <v>26.7</v>
      </c>
      <c r="D6" s="7"/>
      <c r="E6" s="7"/>
      <c r="F6" s="7"/>
      <c r="G6" s="7"/>
      <c r="H6" s="7"/>
      <c r="I6" s="7"/>
      <c r="J6" s="7"/>
      <c r="K6" s="7"/>
      <c r="L6" s="8"/>
      <c r="M6" s="9">
        <v>713225.65</v>
      </c>
      <c r="N6" s="20"/>
      <c r="O6" s="20"/>
      <c r="P6" s="20"/>
      <c r="Q6" s="20"/>
      <c r="R6" s="20"/>
      <c r="S6" s="20"/>
      <c r="T6" s="20"/>
      <c r="U6" s="20"/>
    </row>
    <row r="7" spans="1:21" x14ac:dyDescent="0.25">
      <c r="A7" s="6" t="s">
        <v>26</v>
      </c>
      <c r="B7" s="7"/>
      <c r="C7" s="7">
        <v>70.47</v>
      </c>
      <c r="D7" s="7"/>
      <c r="E7" s="7"/>
      <c r="F7" s="7"/>
      <c r="G7" s="7"/>
      <c r="H7" s="7"/>
      <c r="I7" s="7"/>
      <c r="J7" s="7"/>
      <c r="K7" s="7"/>
      <c r="L7" s="8"/>
      <c r="M7" s="9">
        <v>1379630.05</v>
      </c>
      <c r="N7" s="20"/>
      <c r="O7" s="20"/>
      <c r="P7" s="20"/>
      <c r="Q7" s="20"/>
      <c r="R7" s="20"/>
      <c r="S7" s="20"/>
      <c r="T7" s="20"/>
      <c r="U7" s="20"/>
    </row>
    <row r="8" spans="1:21" x14ac:dyDescent="0.25">
      <c r="A8" s="6" t="s">
        <v>27</v>
      </c>
      <c r="B8" s="7"/>
      <c r="C8" s="7">
        <v>112.62</v>
      </c>
      <c r="D8" s="7"/>
      <c r="E8" s="7"/>
      <c r="F8" s="7"/>
      <c r="G8" s="7"/>
      <c r="H8" s="7"/>
      <c r="I8" s="7"/>
      <c r="J8" s="7"/>
      <c r="K8" s="7"/>
      <c r="L8" s="8"/>
      <c r="M8" s="9">
        <v>1912370.52</v>
      </c>
      <c r="N8" s="20"/>
      <c r="O8" s="20"/>
      <c r="P8" s="20"/>
      <c r="Q8" s="20"/>
      <c r="R8" s="20"/>
      <c r="S8" s="20"/>
      <c r="T8" s="20"/>
      <c r="U8" s="20"/>
    </row>
    <row r="9" spans="1:21" x14ac:dyDescent="0.25">
      <c r="A9" s="6" t="str">
        <f>gurobi!A9</f>
        <v>(150, 120, 130, 4)</v>
      </c>
      <c r="B9" s="21"/>
      <c r="C9" s="7">
        <v>171.45</v>
      </c>
      <c r="D9" s="7"/>
      <c r="E9" s="7"/>
      <c r="F9" s="7"/>
      <c r="G9" s="7"/>
      <c r="H9" s="7"/>
      <c r="I9" s="7"/>
      <c r="J9" s="7"/>
      <c r="K9" s="7"/>
      <c r="L9" s="8"/>
      <c r="M9" s="9">
        <v>2236807.13</v>
      </c>
      <c r="N9" s="20"/>
      <c r="O9" s="20"/>
      <c r="P9" s="20"/>
      <c r="Q9" s="20"/>
      <c r="R9" s="20"/>
      <c r="S9" s="20"/>
      <c r="T9" s="20"/>
      <c r="U9" s="20"/>
    </row>
    <row r="10" spans="1:21" x14ac:dyDescent="0.25">
      <c r="A10" s="6" t="str">
        <f>gurobi!A10</f>
        <v>(200 130, 150, 5)</v>
      </c>
      <c r="B10" s="7"/>
      <c r="C10" s="7">
        <v>379.66</v>
      </c>
      <c r="D10" s="7"/>
      <c r="E10" s="7"/>
      <c r="F10" s="7"/>
      <c r="G10" s="7"/>
      <c r="H10" s="7"/>
      <c r="I10" s="7"/>
      <c r="J10" s="7"/>
      <c r="K10" s="7"/>
      <c r="L10" s="8"/>
      <c r="M10" s="9">
        <v>3545838.99</v>
      </c>
      <c r="N10" s="20"/>
      <c r="O10" s="20"/>
      <c r="P10" s="20"/>
      <c r="Q10" s="20"/>
      <c r="R10" s="20"/>
      <c r="S10" s="20"/>
      <c r="T10" s="20"/>
      <c r="U10" s="20"/>
    </row>
    <row r="11" spans="1:21" x14ac:dyDescent="0.25">
      <c r="A11" s="6" t="str">
        <f>gurobi!A11</f>
        <v>(300, 140, 170, 5)</v>
      </c>
      <c r="B11" s="7"/>
      <c r="C11" s="22">
        <v>315.86</v>
      </c>
      <c r="D11" s="7"/>
      <c r="E11" s="7"/>
      <c r="F11" s="7"/>
      <c r="G11" s="7"/>
      <c r="H11" s="7"/>
      <c r="I11" s="7"/>
      <c r="J11" s="7"/>
      <c r="K11" s="7"/>
      <c r="L11" s="8"/>
      <c r="M11" s="23">
        <v>4316730.67</v>
      </c>
      <c r="N11" s="20"/>
      <c r="O11" s="20"/>
      <c r="P11" s="20"/>
      <c r="Q11" s="20"/>
      <c r="R11" s="20"/>
      <c r="S11" s="20"/>
      <c r="T11" s="20"/>
      <c r="U11" s="20"/>
    </row>
    <row r="12" spans="1:21" x14ac:dyDescent="0.25">
      <c r="A12" s="6" t="str">
        <f>gurobi!A12</f>
        <v>(400, 150, 170 ,6)</v>
      </c>
      <c r="B12" s="7"/>
      <c r="C12" s="7">
        <v>444</v>
      </c>
      <c r="D12" s="7"/>
      <c r="E12" s="7"/>
      <c r="F12" s="7"/>
      <c r="G12" s="7"/>
      <c r="H12" s="7"/>
      <c r="I12" s="7"/>
      <c r="J12" s="7"/>
      <c r="K12" s="7"/>
      <c r="L12" s="8"/>
      <c r="M12" s="9">
        <v>5657525.1299999999</v>
      </c>
      <c r="N12" s="20"/>
      <c r="O12" s="20"/>
      <c r="P12" s="20"/>
      <c r="Q12" s="20"/>
      <c r="R12" s="20"/>
      <c r="S12" s="20"/>
      <c r="T12" s="20"/>
      <c r="U12" s="20"/>
    </row>
    <row r="13" spans="1:21" x14ac:dyDescent="0.25">
      <c r="A13" s="6" t="str">
        <f>gurobi!A13</f>
        <v>(600, 150, 200, 6)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2"/>
      <c r="N13" s="24"/>
      <c r="O13" s="24"/>
      <c r="P13" s="24"/>
      <c r="Q13" s="24"/>
      <c r="R13" s="24"/>
      <c r="S13" s="24"/>
      <c r="T13" s="24"/>
      <c r="U13" s="2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13"/>
  <sheetViews>
    <sheetView workbookViewId="0">
      <selection activeCell="N19" sqref="N17:N19"/>
    </sheetView>
  </sheetViews>
  <sheetFormatPr baseColWidth="10" defaultColWidth="9.140625" defaultRowHeight="15" x14ac:dyDescent="0.25"/>
  <cols>
    <col min="1" max="1" width="15" style="13" bestFit="1" customWidth="1"/>
    <col min="2" max="3" width="13.5703125" style="14" bestFit="1" customWidth="1"/>
    <col min="4" max="11" width="13.5703125" style="15" bestFit="1" customWidth="1"/>
    <col min="12" max="12" width="13.5703125" style="14" bestFit="1" customWidth="1"/>
    <col min="13" max="13" width="13.5703125" style="16" bestFit="1" customWidth="1"/>
    <col min="14" max="21" width="13.5703125" style="17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3" t="s">
        <v>20</v>
      </c>
    </row>
    <row r="2" spans="1:21" x14ac:dyDescent="0.25">
      <c r="A2" s="6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  <c r="Q3" s="9"/>
      <c r="R3" s="9"/>
      <c r="S3" s="9"/>
      <c r="T3" s="9"/>
      <c r="U3" s="9"/>
    </row>
    <row r="4" spans="1:21" x14ac:dyDescent="0.25">
      <c r="A4" s="6" t="s">
        <v>23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  <c r="M4" s="9"/>
      <c r="N4" s="9"/>
      <c r="O4" s="9"/>
      <c r="P4" s="9"/>
      <c r="Q4" s="9"/>
      <c r="R4" s="9"/>
      <c r="S4" s="9"/>
      <c r="T4" s="9"/>
      <c r="U4" s="9"/>
    </row>
    <row r="5" spans="1:21" x14ac:dyDescent="0.25">
      <c r="A5" s="6" t="s">
        <v>24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A6" s="6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A7" s="6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6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6" t="str">
        <f>gurobi!A9</f>
        <v>(150, 120, 130, 4)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6" t="str">
        <f>gurobi!A10</f>
        <v>(200 130, 150, 5)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6" t="str">
        <f>gurobi!A11</f>
        <v>(300, 140, 170, 5)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6" t="str">
        <f>gurobi!A12</f>
        <v>(400, 150, 170 ,6)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6" t="str">
        <f>gurobi!A13</f>
        <v>(600, 150, 200, 6)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2"/>
      <c r="N13" s="12"/>
      <c r="O13" s="12"/>
      <c r="P13" s="12"/>
      <c r="Q13" s="12"/>
      <c r="R13" s="12"/>
      <c r="S13" s="12"/>
      <c r="T13" s="12"/>
      <c r="U13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gurobi</vt:lpstr>
      <vt:lpstr>vns</vt:lpstr>
      <vt:lpstr>vns-ql</vt:lpstr>
      <vt:lpstr>as</vt:lpstr>
      <vt:lpstr>as-ql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Clément BAMOGO</cp:lastModifiedBy>
  <dcterms:created xsi:type="dcterms:W3CDTF">2026-02-03T16:06:13Z</dcterms:created>
  <dcterms:modified xsi:type="dcterms:W3CDTF">2026-02-05T16:31:43Z</dcterms:modified>
</cp:coreProperties>
</file>