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uirabat-my.sharepoint.com/personal/clement_bamogo_uir_ac_ma/Documents/Bureau/PhD/Paper 1/Code/lef-paper/Result_computational/"/>
    </mc:Choice>
  </mc:AlternateContent>
  <xr:revisionPtr revIDLastSave="46" documentId="8_{2423F7B1-EE68-4FA2-A658-9DB2F0A4E065}" xr6:coauthVersionLast="47" xr6:coauthVersionMax="47" xr10:uidLastSave="{B2043DBF-36C5-4504-928F-58AA644F2207}"/>
  <bookViews>
    <workbookView xWindow="-108" yWindow="-108" windowWidth="23256" windowHeight="12456" activeTab="2" xr2:uid="{00000000-000D-0000-FFFF-FFFF00000000}"/>
  </bookViews>
  <sheets>
    <sheet name="gurobi" sheetId="1" r:id="rId1"/>
    <sheet name="vns" sheetId="2" r:id="rId2"/>
    <sheet name="vns-ql" sheetId="3" r:id="rId3"/>
    <sheet name="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4" l="1"/>
  <c r="A12" i="4"/>
  <c r="A11" i="4"/>
  <c r="A10" i="4"/>
  <c r="A9" i="4"/>
  <c r="A13" i="3"/>
  <c r="A12" i="3"/>
  <c r="A11" i="3"/>
  <c r="A10" i="3"/>
  <c r="A9" i="3"/>
  <c r="A8" i="3"/>
  <c r="A7" i="3"/>
  <c r="A6" i="3"/>
  <c r="A5" i="3"/>
  <c r="A4" i="3"/>
  <c r="A3" i="3"/>
  <c r="A2" i="3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<sst xmlns="http://schemas.openxmlformats.org/spreadsheetml/2006/main" count="209" uniqueCount="144">
  <si>
    <t>Instance</t>
  </si>
  <si>
    <t>time_1</t>
  </si>
  <si>
    <t>time_2</t>
  </si>
  <si>
    <t>time_3</t>
  </si>
  <si>
    <t>time_4</t>
  </si>
  <si>
    <t>time_5</t>
  </si>
  <si>
    <t>time_6</t>
  </si>
  <si>
    <t>time_7</t>
  </si>
  <si>
    <t>time_8</t>
  </si>
  <si>
    <t>time_9</t>
  </si>
  <si>
    <t>time_10</t>
  </si>
  <si>
    <t>cost_1</t>
  </si>
  <si>
    <t>cost_2</t>
  </si>
  <si>
    <t>cost_3</t>
  </si>
  <si>
    <t>cost_4</t>
  </si>
  <si>
    <t>cost_5</t>
  </si>
  <si>
    <t>cost_6</t>
  </si>
  <si>
    <t>cost_7</t>
  </si>
  <si>
    <t>cost_8</t>
  </si>
  <si>
    <t>cost_9</t>
  </si>
  <si>
    <t>cost_10</t>
  </si>
  <si>
    <t>(2, 3, 4, 1)</t>
  </si>
  <si>
    <t>(5, 4, 10, 1)</t>
  </si>
  <si>
    <t>(10, 15, 20, 1)</t>
  </si>
  <si>
    <t>(15, 20, 30, 1)</t>
  </si>
  <si>
    <t>(25, 50, 70, 2)</t>
  </si>
  <si>
    <t>(50, 70, 100, 2)</t>
  </si>
  <si>
    <t>(70, 100, 100, 3)</t>
  </si>
  <si>
    <t>cost</t>
  </si>
  <si>
    <t>gap</t>
  </si>
  <si>
    <t>(2, 2, 4, 1)</t>
  </si>
  <si>
    <t>(10, 8, 20, 2)</t>
  </si>
  <si>
    <t>(70, 120, 100, 3)</t>
  </si>
  <si>
    <t>(100, 120, 100, 4)</t>
  </si>
  <si>
    <t>(150, 120, 130, 4)</t>
  </si>
  <si>
    <t>(200 130, 150, 5)</t>
  </si>
  <si>
    <t>(300, 140, 170, 5)</t>
  </si>
  <si>
    <t>(400, 150, 170 ,6)</t>
  </si>
  <si>
    <t>(600, 150, 200, 6)</t>
  </si>
  <si>
    <t>4326299.94</t>
  </si>
  <si>
    <t>4370946.37</t>
  </si>
  <si>
    <t>4340219.54</t>
  </si>
  <si>
    <t>4386255.65</t>
  </si>
  <si>
    <t>4361183.17</t>
  </si>
  <si>
    <t>4364451.50</t>
  </si>
  <si>
    <t>4339039.96</t>
  </si>
  <si>
    <t>4334098.06</t>
  </si>
  <si>
    <t>4335936.39</t>
  </si>
  <si>
    <t>1921.17</t>
  </si>
  <si>
    <t>1588.64</t>
  </si>
  <si>
    <t>1419.77</t>
  </si>
  <si>
    <t>1042.33</t>
  </si>
  <si>
    <t>1287.62</t>
  </si>
  <si>
    <t>1274.77</t>
  </si>
  <si>
    <t>1414.16</t>
  </si>
  <si>
    <t>1470.75</t>
  </si>
  <si>
    <t>1167.70</t>
  </si>
  <si>
    <t>1925540.41</t>
  </si>
  <si>
    <t>1920272.97</t>
  </si>
  <si>
    <t>1927711.97</t>
  </si>
  <si>
    <t>1927578.65</t>
  </si>
  <si>
    <t>1917454.54</t>
  </si>
  <si>
    <t>1926480.54</t>
  </si>
  <si>
    <t>1917742.44</t>
  </si>
  <si>
    <t xml:space="preserve">1926367.0 </t>
  </si>
  <si>
    <t>1925547.93</t>
  </si>
  <si>
    <t>1924619.05</t>
  </si>
  <si>
    <t>101.5</t>
  </si>
  <si>
    <t>187.28</t>
  </si>
  <si>
    <t>96.39</t>
  </si>
  <si>
    <t>94.3</t>
  </si>
  <si>
    <t>105.94</t>
  </si>
  <si>
    <t>93.48</t>
  </si>
  <si>
    <t>94.83</t>
  </si>
  <si>
    <t>94.98</t>
  </si>
  <si>
    <t>122.2</t>
  </si>
  <si>
    <t>99.25</t>
  </si>
  <si>
    <t>2237442.05</t>
  </si>
  <si>
    <t>2235472.35</t>
  </si>
  <si>
    <t>2244127.16</t>
  </si>
  <si>
    <t>2244194.10</t>
  </si>
  <si>
    <t>2239514.49</t>
  </si>
  <si>
    <t>2238218.72</t>
  </si>
  <si>
    <t>2236764.64</t>
  </si>
  <si>
    <t>2243367.95</t>
  </si>
  <si>
    <t>2239089.93</t>
  </si>
  <si>
    <t>2239876.08</t>
  </si>
  <si>
    <t>173.06</t>
  </si>
  <si>
    <t>176.61</t>
  </si>
  <si>
    <t>165.20</t>
  </si>
  <si>
    <t>211.16</t>
  </si>
  <si>
    <t>264.23</t>
  </si>
  <si>
    <t>260.98</t>
  </si>
  <si>
    <t>271.48</t>
  </si>
  <si>
    <t>251.44</t>
  </si>
  <si>
    <t>252.55</t>
  </si>
  <si>
    <t>276.50</t>
  </si>
  <si>
    <t>3569119.81</t>
  </si>
  <si>
    <t>3549934.56</t>
  </si>
  <si>
    <t>3540416.66</t>
  </si>
  <si>
    <t>673.70</t>
  </si>
  <si>
    <t>700.98</t>
  </si>
  <si>
    <t>1101.70</t>
  </si>
  <si>
    <t>3563324.36</t>
  </si>
  <si>
    <t>3569384.72</t>
  </si>
  <si>
    <t>3553436.30</t>
  </si>
  <si>
    <t>3548744.79</t>
  </si>
  <si>
    <t>3567626.62</t>
  </si>
  <si>
    <t>3551665.50</t>
  </si>
  <si>
    <t>3558395.79</t>
  </si>
  <si>
    <t>1139.67</t>
  </si>
  <si>
    <t>1106.81</t>
  </si>
  <si>
    <t>1132.62</t>
  </si>
  <si>
    <t>1060.94</t>
  </si>
  <si>
    <t>587.33</t>
  </si>
  <si>
    <t>743.52</t>
  </si>
  <si>
    <t>574.64</t>
  </si>
  <si>
    <t>4335566.25</t>
  </si>
  <si>
    <t>1560.16</t>
  </si>
  <si>
    <t>5642284.85</t>
  </si>
  <si>
    <t>2987.38</t>
  </si>
  <si>
    <t>4321576.62</t>
  </si>
  <si>
    <t>4316472.45</t>
  </si>
  <si>
    <t>4322591.02</t>
  </si>
  <si>
    <t>4306341.41</t>
  </si>
  <si>
    <t>4314959.01</t>
  </si>
  <si>
    <t>4322189.59</t>
  </si>
  <si>
    <t>4321587.55</t>
  </si>
  <si>
    <t>4321973.22</t>
  </si>
  <si>
    <t>4301475.83</t>
  </si>
  <si>
    <t>4312989.19</t>
  </si>
  <si>
    <t>537.89</t>
  </si>
  <si>
    <t>665.26</t>
  </si>
  <si>
    <t>539.53</t>
  </si>
  <si>
    <t>1317.45</t>
  </si>
  <si>
    <t>537.64</t>
  </si>
  <si>
    <t>537.78</t>
  </si>
  <si>
    <t>539.45</t>
  </si>
  <si>
    <t>978.5</t>
  </si>
  <si>
    <t>918.97</t>
  </si>
  <si>
    <t>857.23</t>
  </si>
  <si>
    <t>3530587.51</t>
  </si>
  <si>
    <t>297.7</t>
  </si>
  <si>
    <t>4304091.69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</si>
</sst>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00"/>
    <numFmt numFmtId="166" formatCode="#,##0.00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left"/>
    </xf>
    <xf numFmtId="4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4" fontId="1" fillId="0" borderId="5" xfId="0" applyNumberFormat="1" applyFont="1" applyBorder="1" applyAlignment="1">
      <alignment horizontal="right"/>
    </xf>
    <xf numFmtId="4" fontId="1" fillId="0" borderId="6" xfId="0" applyNumberFormat="1" applyFont="1" applyBorder="1" applyAlignment="1">
      <alignment horizontal="right"/>
    </xf>
    <xf numFmtId="4" fontId="1" fillId="0" borderId="7" xfId="0" applyNumberFormat="1" applyFont="1" applyBorder="1" applyAlignment="1">
      <alignment horizontal="right"/>
    </xf>
    <xf numFmtId="4" fontId="1" fillId="0" borderId="8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1" fillId="0" borderId="5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9" xfId="0" applyFont="1" applyBorder="1" applyAlignment="1">
      <alignment horizontal="center"/>
    </xf>
    <xf numFmtId="4" fontId="1" fillId="0" borderId="9" xfId="0" applyNumberFormat="1" applyFont="1" applyBorder="1" applyAlignment="1">
      <alignment horizontal="center"/>
    </xf>
    <xf numFmtId="3" fontId="1" fillId="0" borderId="9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right"/>
    </xf>
    <xf numFmtId="4" fontId="1" fillId="0" borderId="9" xfId="0" applyNumberFormat="1" applyFont="1" applyBorder="1" applyAlignment="1">
      <alignment horizontal="left"/>
    </xf>
    <xf numFmtId="165" fontId="1" fillId="0" borderId="9" xfId="0" applyNumberFormat="1" applyFont="1" applyBorder="1" applyAlignment="1">
      <alignment horizontal="left"/>
    </xf>
    <xf numFmtId="164" fontId="1" fillId="0" borderId="9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center" wrapText="1"/>
    </xf>
    <xf numFmtId="165" fontId="0" fillId="0" borderId="0" xfId="0" applyNumberFormat="1" applyAlignment="1">
      <alignment horizontal="right"/>
    </xf>
    <xf numFmtId="164" fontId="1" fillId="0" borderId="5" xfId="0" applyNumberFormat="1" applyFont="1" applyBorder="1"/>
    <xf numFmtId="4" fontId="1" fillId="0" borderId="5" xfId="0" applyNumberFormat="1" applyFont="1" applyBorder="1"/>
    <xf numFmtId="164" fontId="1" fillId="0" borderId="6" xfId="0" applyNumberFormat="1" applyFont="1" applyBorder="1"/>
    <xf numFmtId="0" fontId="1" fillId="0" borderId="5" xfId="0" applyFont="1" applyBorder="1"/>
    <xf numFmtId="4" fontId="1" fillId="0" borderId="6" xfId="0" applyNumberFormat="1" applyFont="1" applyBorder="1"/>
    <xf numFmtId="4" fontId="2" fillId="0" borderId="9" xfId="0" applyNumberFormat="1" applyFont="1" applyBorder="1"/>
    <xf numFmtId="4" fontId="1" fillId="0" borderId="7" xfId="0" applyNumberFormat="1" applyFont="1" applyBorder="1"/>
    <xf numFmtId="4" fontId="1" fillId="0" borderId="8" xfId="0" applyNumberFormat="1" applyFont="1" applyBorder="1"/>
    <xf numFmtId="0" fontId="1" fillId="0" borderId="7" xfId="0" applyFont="1" applyBorder="1"/>
  </cellXfs>
  <cellStyles count="1">
    <cellStyle name="Normal" xfId="0" builtinId="0"/>
  </cellStyles>
  <dxfs count="20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au1" displayName="Tableau1" ref="A1:M13" totalsRowShown="0">
  <autoFilter ref="A1:M13" xr:uid="{00000000-0009-0000-0100-000005000000}"/>
  <tableColumns count="13">
    <tableColumn id="1" xr3:uid="{00000000-0010-0000-0000-000001000000}" name="Instance"/>
    <tableColumn id="2" xr3:uid="{00000000-0010-0000-0000-000002000000}" name="time_1"/>
    <tableColumn id="3" xr3:uid="{00000000-0010-0000-0000-000003000000}" name="time_2"/>
    <tableColumn id="4" xr3:uid="{00000000-0010-0000-0000-000004000000}" name="time_3"/>
    <tableColumn id="5" xr3:uid="{00000000-0010-0000-0000-000005000000}" name="time_4"/>
    <tableColumn id="6" xr3:uid="{00000000-0010-0000-0000-000006000000}" name="time_5"/>
    <tableColumn id="7" xr3:uid="{00000000-0010-0000-0000-000007000000}" name="time_6"/>
    <tableColumn id="8" xr3:uid="{00000000-0010-0000-0000-000008000000}" name="time_7"/>
    <tableColumn id="9" xr3:uid="{00000000-0010-0000-0000-000009000000}" name="time_8"/>
    <tableColumn id="10" xr3:uid="{00000000-0010-0000-0000-00000A000000}" name="time_9"/>
    <tableColumn id="11" xr3:uid="{00000000-0010-0000-0000-00000B000000}" name="time_10"/>
    <tableColumn id="12" xr3:uid="{00000000-0010-0000-0000-00000C000000}" name="cost"/>
    <tableColumn id="13" xr3:uid="{00000000-0010-0000-0000-00000D000000}" name="gap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au2" displayName="Tableau2" ref="A1:U13" totalsRowShown="0">
  <autoFilter ref="A1:U13" xr:uid="{00000000-0009-0000-0100-000004000000}"/>
  <tableColumns count="21">
    <tableColumn id="1" xr3:uid="{00000000-0010-0000-0100-000001000000}" name="Instance"/>
    <tableColumn id="2" xr3:uid="{00000000-0010-0000-0100-000002000000}" name="time_1"/>
    <tableColumn id="3" xr3:uid="{00000000-0010-0000-0100-000003000000}" name="time_2"/>
    <tableColumn id="4" xr3:uid="{00000000-0010-0000-0100-000004000000}" name="time_3"/>
    <tableColumn id="5" xr3:uid="{00000000-0010-0000-0100-000005000000}" name="time_4"/>
    <tableColumn id="6" xr3:uid="{00000000-0010-0000-0100-000006000000}" name="time_5"/>
    <tableColumn id="7" xr3:uid="{00000000-0010-0000-0100-000007000000}" name="time_6"/>
    <tableColumn id="8" xr3:uid="{00000000-0010-0000-0100-000008000000}" name="time_7"/>
    <tableColumn id="9" xr3:uid="{00000000-0010-0000-0100-000009000000}" name="time_8"/>
    <tableColumn id="10" xr3:uid="{00000000-0010-0000-0100-00000A000000}" name="time_9"/>
    <tableColumn id="11" xr3:uid="{00000000-0010-0000-0100-00000B000000}" name="time_10"/>
    <tableColumn id="12" xr3:uid="{00000000-0010-0000-0100-00000C000000}" name="cost_1"/>
    <tableColumn id="13" xr3:uid="{00000000-0010-0000-0100-00000D000000}" name="cost_2"/>
    <tableColumn id="14" xr3:uid="{00000000-0010-0000-0100-00000E000000}" name="cost_3"/>
    <tableColumn id="15" xr3:uid="{00000000-0010-0000-0100-00000F000000}" name="cost_4"/>
    <tableColumn id="16" xr3:uid="{00000000-0010-0000-0100-000010000000}" name="cost_5"/>
    <tableColumn id="17" xr3:uid="{00000000-0010-0000-0100-000011000000}" name="cost_6"/>
    <tableColumn id="18" xr3:uid="{00000000-0010-0000-0100-000012000000}" name="cost_7"/>
    <tableColumn id="19" xr3:uid="{00000000-0010-0000-0100-000013000000}" name="cost_8"/>
    <tableColumn id="20" xr3:uid="{00000000-0010-0000-0100-000014000000}" name="cost_9"/>
    <tableColumn id="21" xr3:uid="{00000000-0010-0000-0100-000015000000}" name="cost_1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24" displayName="Tableau24" ref="A1:U13" totalsRowShown="0">
  <autoFilter ref="A1:U13" xr:uid="{00000000-0009-0000-0100-000003000000}"/>
  <tableColumns count="21">
    <tableColumn id="1" xr3:uid="{00000000-0010-0000-0200-000001000000}" name="Instance"/>
    <tableColumn id="2" xr3:uid="{00000000-0010-0000-0200-000002000000}" name="time_1"/>
    <tableColumn id="3" xr3:uid="{00000000-0010-0000-0200-000003000000}" name="time_2"/>
    <tableColumn id="4" xr3:uid="{00000000-0010-0000-0200-000004000000}" name="time_3"/>
    <tableColumn id="5" xr3:uid="{00000000-0010-0000-0200-000005000000}" name="time_4"/>
    <tableColumn id="6" xr3:uid="{00000000-0010-0000-0200-000006000000}" name="time_5"/>
    <tableColumn id="7" xr3:uid="{00000000-0010-0000-0200-000007000000}" name="time_6"/>
    <tableColumn id="8" xr3:uid="{00000000-0010-0000-0200-000008000000}" name="time_7"/>
    <tableColumn id="9" xr3:uid="{00000000-0010-0000-0200-000009000000}" name="time_8"/>
    <tableColumn id="10" xr3:uid="{00000000-0010-0000-0200-00000A000000}" name="time_9"/>
    <tableColumn id="11" xr3:uid="{00000000-0010-0000-0200-00000B000000}" name="time_10"/>
    <tableColumn id="12" xr3:uid="{00000000-0010-0000-0200-00000C000000}" name="cost_1"/>
    <tableColumn id="13" xr3:uid="{00000000-0010-0000-0200-00000D000000}" name="cost_2"/>
    <tableColumn id="14" xr3:uid="{00000000-0010-0000-0200-00000E000000}" name="cost_3"/>
    <tableColumn id="15" xr3:uid="{00000000-0010-0000-0200-00000F000000}" name="cost_4"/>
    <tableColumn id="16" xr3:uid="{00000000-0010-0000-0200-000010000000}" name="cost_5"/>
    <tableColumn id="17" xr3:uid="{00000000-0010-0000-0200-000011000000}" name="cost_6"/>
    <tableColumn id="18" xr3:uid="{00000000-0010-0000-0200-000012000000}" name="cost_7"/>
    <tableColumn id="19" xr3:uid="{00000000-0010-0000-0200-000013000000}" name="cost_8"/>
    <tableColumn id="20" xr3:uid="{00000000-0010-0000-0200-000014000000}" name="cost_9"/>
    <tableColumn id="21" xr3:uid="{00000000-0010-0000-0200-000015000000}" name="cost_1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au25" displayName="Tableau25" ref="A1:U13" totalsRowShown="0">
  <autoFilter ref="A1:U13" xr:uid="{00000000-0009-0000-0100-000002000000}"/>
  <tableColumns count="21">
    <tableColumn id="1" xr3:uid="{00000000-0010-0000-0300-000001000000}" name="Instance"/>
    <tableColumn id="2" xr3:uid="{00000000-0010-0000-0300-000002000000}" name="time_1" dataDxfId="19"/>
    <tableColumn id="3" xr3:uid="{00000000-0010-0000-0300-000003000000}" name="time_2" dataDxfId="18"/>
    <tableColumn id="4" xr3:uid="{00000000-0010-0000-0300-000004000000}" name="time_3" dataDxfId="17"/>
    <tableColumn id="5" xr3:uid="{00000000-0010-0000-0300-000005000000}" name="time_4" dataDxfId="16"/>
    <tableColumn id="6" xr3:uid="{00000000-0010-0000-0300-000006000000}" name="time_5" dataDxfId="15"/>
    <tableColumn id="7" xr3:uid="{00000000-0010-0000-0300-000007000000}" name="time_6" dataDxfId="14"/>
    <tableColumn id="8" xr3:uid="{00000000-0010-0000-0300-000008000000}" name="time_7" dataDxfId="13"/>
    <tableColumn id="9" xr3:uid="{00000000-0010-0000-0300-000009000000}" name="time_8" dataDxfId="12"/>
    <tableColumn id="10" xr3:uid="{00000000-0010-0000-0300-00000A000000}" name="time_9" dataDxfId="11"/>
    <tableColumn id="11" xr3:uid="{00000000-0010-0000-0300-00000B000000}" name="time_10" dataDxfId="10"/>
    <tableColumn id="12" xr3:uid="{00000000-0010-0000-0300-00000C000000}" name="cost_1" dataDxfId="9"/>
    <tableColumn id="13" xr3:uid="{00000000-0010-0000-0300-00000D000000}" name="cost_2" dataDxfId="8"/>
    <tableColumn id="14" xr3:uid="{00000000-0010-0000-0300-00000E000000}" name="cost_3" dataDxfId="7"/>
    <tableColumn id="15" xr3:uid="{00000000-0010-0000-0300-00000F000000}" name="cost_4" dataDxfId="6"/>
    <tableColumn id="16" xr3:uid="{00000000-0010-0000-0300-000010000000}" name="cost_5" dataDxfId="5"/>
    <tableColumn id="17" xr3:uid="{00000000-0010-0000-0300-000011000000}" name="cost_6" dataDxfId="4"/>
    <tableColumn id="18" xr3:uid="{00000000-0010-0000-0300-000012000000}" name="cost_7" dataDxfId="3"/>
    <tableColumn id="19" xr3:uid="{00000000-0010-0000-0300-000013000000}" name="cost_8" dataDxfId="2"/>
    <tableColumn id="20" xr3:uid="{00000000-0010-0000-0300-000014000000}" name="cost_9" dataDxfId="1"/>
    <tableColumn id="21" xr3:uid="{00000000-0010-0000-0300-000015000000}" name="cost_10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3"/>
  <sheetViews>
    <sheetView zoomScale="110" zoomScaleNormal="110" workbookViewId="0">
      <selection activeCell="A11" sqref="A11:XFD11"/>
    </sheetView>
  </sheetViews>
  <sheetFormatPr defaultColWidth="9.109375" defaultRowHeight="14.4" x14ac:dyDescent="0.3"/>
  <cols>
    <col min="1" max="1" width="15.33203125" style="10" bestFit="1" customWidth="1"/>
    <col min="2" max="10" width="13.5546875" style="11" bestFit="1" customWidth="1"/>
    <col min="11" max="11" width="12.33203125" style="11" bestFit="1" customWidth="1"/>
    <col min="12" max="12" width="12.88671875" style="11" bestFit="1" customWidth="1"/>
    <col min="13" max="13" width="13.5546875" style="30" bestFit="1" customWidth="1"/>
    <col min="14" max="14" width="13.5546875" bestFit="1" customWidth="1"/>
    <col min="15" max="15" width="17.6640625" bestFit="1" customWidth="1"/>
    <col min="16" max="23" width="13.5546875" bestFit="1" customWidth="1"/>
  </cols>
  <sheetData>
    <row r="1" spans="1:23" ht="18.75" customHeight="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28</v>
      </c>
      <c r="M1" s="25" t="s">
        <v>29</v>
      </c>
    </row>
    <row r="2" spans="1:23" x14ac:dyDescent="0.3">
      <c r="A2" s="20" t="s">
        <v>30</v>
      </c>
      <c r="B2" s="23">
        <v>0</v>
      </c>
      <c r="C2" s="23">
        <v>0.02</v>
      </c>
      <c r="D2" s="23">
        <v>0</v>
      </c>
      <c r="E2" s="23">
        <v>0</v>
      </c>
      <c r="F2" s="23">
        <v>0.02</v>
      </c>
      <c r="G2" s="23">
        <v>0</v>
      </c>
      <c r="H2" s="23">
        <v>0.02</v>
      </c>
      <c r="I2" s="23">
        <v>0</v>
      </c>
      <c r="J2" s="23">
        <v>0</v>
      </c>
      <c r="K2" s="23">
        <v>0</v>
      </c>
      <c r="L2" s="23">
        <v>28554.02</v>
      </c>
      <c r="M2" s="27">
        <v>0</v>
      </c>
    </row>
    <row r="3" spans="1:23" x14ac:dyDescent="0.3">
      <c r="A3" s="20" t="s">
        <v>22</v>
      </c>
      <c r="B3" s="23">
        <v>0.03</v>
      </c>
      <c r="C3" s="23">
        <v>0.02</v>
      </c>
      <c r="D3" s="23">
        <v>0.02</v>
      </c>
      <c r="E3" s="23">
        <v>0.05</v>
      </c>
      <c r="F3" s="23">
        <v>0.02</v>
      </c>
      <c r="G3" s="23">
        <v>0.02</v>
      </c>
      <c r="H3" s="23">
        <v>0.02</v>
      </c>
      <c r="I3" s="23">
        <v>0.02</v>
      </c>
      <c r="J3" s="23">
        <v>0.06</v>
      </c>
      <c r="K3" s="23">
        <v>0.06</v>
      </c>
      <c r="L3" s="23">
        <v>61402.879999999997</v>
      </c>
      <c r="M3" s="27">
        <v>6.7000000000000002E-5</v>
      </c>
    </row>
    <row r="4" spans="1:23" x14ac:dyDescent="0.3">
      <c r="A4" s="20" t="s">
        <v>31</v>
      </c>
      <c r="B4" s="23">
        <v>0.33</v>
      </c>
      <c r="C4" s="23">
        <v>0.3</v>
      </c>
      <c r="D4" s="23">
        <v>0.33</v>
      </c>
      <c r="E4" s="23">
        <v>0.33</v>
      </c>
      <c r="F4" s="23">
        <v>0.39</v>
      </c>
      <c r="G4" s="23">
        <v>0.33</v>
      </c>
      <c r="H4" s="23">
        <v>0.3</v>
      </c>
      <c r="I4" s="23">
        <v>0.28000000000000003</v>
      </c>
      <c r="J4" s="23">
        <v>0.3</v>
      </c>
      <c r="K4" s="23">
        <v>0.48</v>
      </c>
      <c r="L4" s="23">
        <v>192817.2</v>
      </c>
      <c r="M4" s="27">
        <v>9.8999999999999994E-5</v>
      </c>
      <c r="W4" s="20"/>
    </row>
    <row r="5" spans="1:23" x14ac:dyDescent="0.3">
      <c r="A5" s="20" t="s">
        <v>24</v>
      </c>
      <c r="B5" s="23">
        <v>3.03</v>
      </c>
      <c r="C5" s="23">
        <v>2.86</v>
      </c>
      <c r="D5" s="23">
        <v>2.84</v>
      </c>
      <c r="E5" s="23">
        <v>2.89</v>
      </c>
      <c r="F5" s="23">
        <v>2.72</v>
      </c>
      <c r="G5" s="23">
        <v>2.8</v>
      </c>
      <c r="H5" s="23">
        <v>2.83</v>
      </c>
      <c r="I5" s="23">
        <v>3.06</v>
      </c>
      <c r="J5" s="23">
        <v>2.67</v>
      </c>
      <c r="K5" s="23">
        <v>2.92</v>
      </c>
      <c r="L5" s="23">
        <v>290932.3</v>
      </c>
      <c r="M5" s="27">
        <v>4.8000000000000001E-5</v>
      </c>
    </row>
    <row r="6" spans="1:23" x14ac:dyDescent="0.3">
      <c r="A6" s="20" t="s">
        <v>25</v>
      </c>
      <c r="B6" s="23">
        <v>116.16</v>
      </c>
      <c r="C6" s="23">
        <v>128.44999999999999</v>
      </c>
      <c r="D6" s="23">
        <v>123.7</v>
      </c>
      <c r="E6" s="23">
        <v>128.66</v>
      </c>
      <c r="F6" s="23">
        <v>129.91</v>
      </c>
      <c r="G6" s="23">
        <v>128.55000000000001</v>
      </c>
      <c r="H6" s="23">
        <v>133.06</v>
      </c>
      <c r="I6" s="23">
        <v>133.52000000000001</v>
      </c>
      <c r="J6" s="23">
        <v>133.09</v>
      </c>
      <c r="K6" s="23">
        <v>128.16999999999999</v>
      </c>
      <c r="L6" s="23">
        <v>710215.25</v>
      </c>
      <c r="M6" s="27">
        <v>0</v>
      </c>
    </row>
    <row r="7" spans="1:23" x14ac:dyDescent="0.3">
      <c r="A7" s="20" t="s">
        <v>32</v>
      </c>
      <c r="B7" s="23">
        <v>646.80999999999995</v>
      </c>
      <c r="C7" s="23">
        <v>678.86</v>
      </c>
      <c r="D7" s="23">
        <v>748.56</v>
      </c>
      <c r="E7" s="23">
        <v>710.08</v>
      </c>
      <c r="F7" s="23">
        <v>977.73</v>
      </c>
      <c r="G7" s="23">
        <v>1025.17</v>
      </c>
      <c r="H7" s="23">
        <v>774.86</v>
      </c>
      <c r="I7" s="23">
        <v>1030.7</v>
      </c>
      <c r="J7" s="23">
        <v>1053.55</v>
      </c>
      <c r="K7" s="23">
        <v>513.23</v>
      </c>
      <c r="L7" s="23">
        <v>1374194.39</v>
      </c>
      <c r="M7" s="27">
        <v>1E-3</v>
      </c>
    </row>
    <row r="8" spans="1:23" x14ac:dyDescent="0.3">
      <c r="A8" s="20" t="s">
        <v>33</v>
      </c>
      <c r="B8" s="23">
        <v>1672.39</v>
      </c>
      <c r="C8" s="23">
        <v>1033.0899999999999</v>
      </c>
      <c r="D8" s="23">
        <v>985.86</v>
      </c>
      <c r="E8" s="23">
        <v>1017.84</v>
      </c>
      <c r="F8" s="23">
        <v>1043.8900000000001</v>
      </c>
      <c r="G8" s="23">
        <v>839.36</v>
      </c>
      <c r="H8" s="23">
        <v>1958.77</v>
      </c>
      <c r="I8" s="23">
        <v>732.67</v>
      </c>
      <c r="J8" s="23">
        <v>745.95</v>
      </c>
      <c r="K8" s="23">
        <v>782.64</v>
      </c>
      <c r="L8" s="23">
        <v>1907714.3</v>
      </c>
      <c r="M8" s="27">
        <v>1.6000000000000001E-3</v>
      </c>
      <c r="P8" s="28"/>
    </row>
    <row r="9" spans="1:23" x14ac:dyDescent="0.3">
      <c r="A9" s="20" t="s">
        <v>34</v>
      </c>
      <c r="B9" s="23">
        <v>3980.02</v>
      </c>
      <c r="C9" s="23">
        <v>1913.55</v>
      </c>
      <c r="D9" s="23">
        <v>2101.44</v>
      </c>
      <c r="E9" s="23">
        <v>3344.53</v>
      </c>
      <c r="F9" s="23">
        <v>2159.2199999999998</v>
      </c>
      <c r="G9" s="23">
        <v>4236.3599999999997</v>
      </c>
      <c r="H9" s="23">
        <v>2052.48</v>
      </c>
      <c r="I9" s="23">
        <v>2674.78</v>
      </c>
      <c r="J9" s="23">
        <v>2802.53</v>
      </c>
      <c r="K9" s="23">
        <v>1964.47</v>
      </c>
      <c r="L9" s="23">
        <v>2230454.0699999998</v>
      </c>
      <c r="M9" s="27">
        <v>6.0000000000000001E-3</v>
      </c>
      <c r="P9" s="28"/>
    </row>
    <row r="10" spans="1:23" x14ac:dyDescent="0.3">
      <c r="A10" s="29" t="s">
        <v>35</v>
      </c>
      <c r="B10" s="23">
        <v>6979.64</v>
      </c>
      <c r="C10" s="23">
        <v>8071.2</v>
      </c>
      <c r="D10" s="23">
        <v>10467.879999999999</v>
      </c>
      <c r="E10" s="23">
        <v>8208.31</v>
      </c>
      <c r="F10" s="23">
        <v>5195.03</v>
      </c>
      <c r="G10" s="23">
        <v>7207.39</v>
      </c>
      <c r="H10" s="23">
        <v>6371.33</v>
      </c>
      <c r="I10" s="23">
        <v>4532.47</v>
      </c>
      <c r="J10" s="23">
        <v>5503.8</v>
      </c>
      <c r="K10" s="23">
        <v>4557.2</v>
      </c>
      <c r="L10" s="23">
        <v>3526470.86</v>
      </c>
      <c r="M10" s="27">
        <v>8.1000000000000004E-5</v>
      </c>
      <c r="P10" s="28"/>
    </row>
    <row r="11" spans="1:23" x14ac:dyDescent="0.3">
      <c r="A11" s="29" t="s">
        <v>36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1:23" x14ac:dyDescent="0.3">
      <c r="A12" s="29" t="s">
        <v>37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6"/>
    </row>
    <row r="13" spans="1:23" x14ac:dyDescent="0.3">
      <c r="A13" s="29" t="s">
        <v>38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13"/>
  <sheetViews>
    <sheetView zoomScale="110" zoomScaleNormal="110" workbookViewId="0">
      <selection activeCell="A10" sqref="A10:XFD10"/>
    </sheetView>
  </sheetViews>
  <sheetFormatPr defaultColWidth="9.109375" defaultRowHeight="14.4" x14ac:dyDescent="0.3"/>
  <cols>
    <col min="1" max="1" width="15.33203125" style="10" bestFit="1" customWidth="1"/>
    <col min="2" max="12" width="13.5546875" style="11" bestFit="1" customWidth="1"/>
    <col min="13" max="21" width="13.5546875" style="13" bestFit="1" customWidth="1"/>
  </cols>
  <sheetData>
    <row r="1" spans="1:21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</row>
    <row r="2" spans="1:21" x14ac:dyDescent="0.3">
      <c r="A2" s="20" t="str">
        <f>gurobi!A2</f>
        <v>(2, 2, 4, 1)</v>
      </c>
      <c r="B2" s="22">
        <v>0</v>
      </c>
      <c r="C2" s="23">
        <v>0.02</v>
      </c>
      <c r="D2" s="23">
        <v>0.02</v>
      </c>
      <c r="E2" s="23">
        <v>0.02</v>
      </c>
      <c r="F2" s="23">
        <v>0.02</v>
      </c>
      <c r="G2" s="23">
        <v>0.02</v>
      </c>
      <c r="H2" s="23">
        <v>0.02</v>
      </c>
      <c r="I2" s="23">
        <v>0.02</v>
      </c>
      <c r="J2" s="22">
        <v>0</v>
      </c>
      <c r="K2" s="22">
        <v>0</v>
      </c>
      <c r="L2" s="23">
        <v>28554.02</v>
      </c>
      <c r="M2" s="23">
        <v>28554.02</v>
      </c>
      <c r="N2" s="23">
        <v>28554.02</v>
      </c>
      <c r="O2" s="23">
        <v>28554.02</v>
      </c>
      <c r="P2" s="23">
        <v>28554.02</v>
      </c>
      <c r="Q2" s="23">
        <v>28554.02</v>
      </c>
      <c r="R2" s="23">
        <v>28554.02</v>
      </c>
      <c r="S2" s="23">
        <v>28554.02</v>
      </c>
      <c r="T2" s="23">
        <v>28554.02</v>
      </c>
      <c r="U2" s="23">
        <v>28554.02</v>
      </c>
    </row>
    <row r="3" spans="1:21" x14ac:dyDescent="0.3">
      <c r="A3" s="20" t="str">
        <f>gurobi!A3</f>
        <v>(5, 4, 10, 1)</v>
      </c>
      <c r="B3" s="23">
        <v>0.05</v>
      </c>
      <c r="C3" s="23">
        <v>0.05</v>
      </c>
      <c r="D3" s="23">
        <v>0.03</v>
      </c>
      <c r="E3" s="23">
        <v>0.05</v>
      </c>
      <c r="F3" s="23">
        <v>0.05</v>
      </c>
      <c r="G3" s="23">
        <v>0.05</v>
      </c>
      <c r="H3" s="23">
        <v>0.05</v>
      </c>
      <c r="I3" s="23">
        <v>0.03</v>
      </c>
      <c r="J3" s="23">
        <v>0.05</v>
      </c>
      <c r="K3" s="23">
        <v>0.05</v>
      </c>
      <c r="L3" s="23">
        <v>61411.519999999997</v>
      </c>
      <c r="M3" s="23">
        <v>61402.05</v>
      </c>
      <c r="N3" s="23">
        <v>61404.51</v>
      </c>
      <c r="O3" s="23">
        <v>61424.07</v>
      </c>
      <c r="P3" s="23">
        <v>61402.05</v>
      </c>
      <c r="Q3" s="23">
        <v>61403.82</v>
      </c>
      <c r="R3" s="23">
        <v>61402.05</v>
      </c>
      <c r="S3" s="23">
        <v>61405.36</v>
      </c>
      <c r="T3" s="23">
        <v>61424.07</v>
      </c>
      <c r="U3" s="23">
        <v>61403.82</v>
      </c>
    </row>
    <row r="4" spans="1:21" x14ac:dyDescent="0.3">
      <c r="A4" s="20" t="str">
        <f>gurobi!A4</f>
        <v>(10, 8, 20, 2)</v>
      </c>
      <c r="B4" s="23">
        <v>0.2</v>
      </c>
      <c r="C4" s="23">
        <v>0.19</v>
      </c>
      <c r="D4" s="23">
        <v>0.2</v>
      </c>
      <c r="E4" s="23">
        <v>0.19</v>
      </c>
      <c r="F4" s="23">
        <v>0.2</v>
      </c>
      <c r="G4" s="23">
        <v>0.19</v>
      </c>
      <c r="H4" s="23">
        <v>0.2</v>
      </c>
      <c r="I4" s="23">
        <v>0.19</v>
      </c>
      <c r="J4" s="23">
        <v>0.19</v>
      </c>
      <c r="K4" s="23">
        <v>0.2</v>
      </c>
      <c r="L4" s="23">
        <v>192857.02</v>
      </c>
      <c r="M4" s="23">
        <v>192846.27</v>
      </c>
      <c r="N4" s="23">
        <v>192856.15</v>
      </c>
      <c r="O4" s="23">
        <v>192842.51</v>
      </c>
      <c r="P4" s="23">
        <v>192825.13</v>
      </c>
      <c r="Q4" s="23">
        <v>192843.64</v>
      </c>
      <c r="R4" s="23">
        <v>192867.44</v>
      </c>
      <c r="S4" s="23">
        <v>192856.15</v>
      </c>
      <c r="T4" s="23">
        <v>192884.08</v>
      </c>
      <c r="U4" s="23">
        <v>192872.82</v>
      </c>
    </row>
    <row r="5" spans="1:21" x14ac:dyDescent="0.3">
      <c r="A5" s="20" t="str">
        <f>gurobi!A5</f>
        <v>(15, 20, 30, 1)</v>
      </c>
      <c r="B5" s="23">
        <v>1.23</v>
      </c>
      <c r="C5" s="23">
        <v>1.22</v>
      </c>
      <c r="D5" s="23">
        <v>1.36</v>
      </c>
      <c r="E5" s="23">
        <v>1.17</v>
      </c>
      <c r="F5" s="23">
        <v>1.19</v>
      </c>
      <c r="G5" s="23">
        <v>1.08</v>
      </c>
      <c r="H5" s="23">
        <v>1.27</v>
      </c>
      <c r="I5" s="23">
        <v>1.23</v>
      </c>
      <c r="J5" s="23">
        <v>1.1599999999999999</v>
      </c>
      <c r="K5" s="23">
        <v>1.22</v>
      </c>
      <c r="L5" s="23">
        <v>291904.17</v>
      </c>
      <c r="M5" s="23">
        <v>291263.86</v>
      </c>
      <c r="N5" s="23">
        <v>290950.53000000003</v>
      </c>
      <c r="O5" s="23">
        <v>291144.53000000003</v>
      </c>
      <c r="P5" s="23">
        <v>291543.15000000002</v>
      </c>
      <c r="Q5" s="23">
        <v>290936.46000000002</v>
      </c>
      <c r="R5" s="23">
        <v>291477.56</v>
      </c>
      <c r="S5" s="23">
        <v>292439.37</v>
      </c>
      <c r="T5" s="23">
        <v>291150.51</v>
      </c>
      <c r="U5" s="23">
        <v>291290.58</v>
      </c>
    </row>
    <row r="6" spans="1:21" x14ac:dyDescent="0.3">
      <c r="A6" s="20" t="str">
        <f>gurobi!A6</f>
        <v>(25, 50, 70, 2)</v>
      </c>
      <c r="B6" s="23">
        <v>19.52</v>
      </c>
      <c r="C6" s="23">
        <v>20.47</v>
      </c>
      <c r="D6" s="23">
        <v>19.11</v>
      </c>
      <c r="E6" s="23">
        <v>19.36</v>
      </c>
      <c r="F6" s="23">
        <v>19.309999999999999</v>
      </c>
      <c r="G6" s="23">
        <v>20</v>
      </c>
      <c r="H6" s="23">
        <v>20.41</v>
      </c>
      <c r="I6" s="23">
        <v>19.52</v>
      </c>
      <c r="J6" s="23">
        <v>20.69</v>
      </c>
      <c r="K6" s="23">
        <v>19.75</v>
      </c>
      <c r="L6" s="23">
        <v>723284.68</v>
      </c>
      <c r="M6" s="23">
        <v>714035.71</v>
      </c>
      <c r="N6" s="23">
        <v>719929.95</v>
      </c>
      <c r="O6" s="23">
        <v>715054.11</v>
      </c>
      <c r="P6" s="23">
        <v>714593.66</v>
      </c>
      <c r="Q6" s="23">
        <v>726714.47</v>
      </c>
      <c r="R6" s="23">
        <v>719481.75</v>
      </c>
      <c r="S6" s="23">
        <v>717993.5</v>
      </c>
      <c r="T6" s="23">
        <v>712159.6</v>
      </c>
      <c r="U6" s="23">
        <v>715419.4</v>
      </c>
    </row>
    <row r="7" spans="1:21" x14ac:dyDescent="0.3">
      <c r="A7" s="20" t="str">
        <f>gurobi!A7</f>
        <v>(70, 120, 100, 3)</v>
      </c>
      <c r="B7" s="23">
        <v>61.23</v>
      </c>
      <c r="C7" s="23">
        <v>56.41</v>
      </c>
      <c r="D7" s="23">
        <v>59.12</v>
      </c>
      <c r="E7" s="23">
        <v>61.31</v>
      </c>
      <c r="F7" s="23">
        <v>95.75</v>
      </c>
      <c r="G7" s="23">
        <v>54.33</v>
      </c>
      <c r="H7" s="23">
        <v>59.89</v>
      </c>
      <c r="I7" s="23">
        <v>50.58</v>
      </c>
      <c r="J7" s="23">
        <v>59</v>
      </c>
      <c r="K7" s="23">
        <v>57.45</v>
      </c>
      <c r="L7" s="23">
        <v>1388376.54</v>
      </c>
      <c r="M7" s="23">
        <v>1388355.56</v>
      </c>
      <c r="N7" s="23">
        <v>1388215.42</v>
      </c>
      <c r="O7" s="23">
        <v>1382598.05</v>
      </c>
      <c r="P7" s="23">
        <v>1391922.72</v>
      </c>
      <c r="Q7" s="23">
        <v>1391143.93</v>
      </c>
      <c r="R7" s="23">
        <v>1390704.03</v>
      </c>
      <c r="S7" s="23">
        <v>1410890.76</v>
      </c>
      <c r="T7" s="23">
        <v>1385373.34</v>
      </c>
      <c r="U7" s="23">
        <v>1389960.24</v>
      </c>
    </row>
    <row r="8" spans="1:21" x14ac:dyDescent="0.3">
      <c r="A8" s="20" t="str">
        <f>gurobi!A8</f>
        <v>(100, 120, 100, 4)</v>
      </c>
      <c r="B8" s="11" t="s">
        <v>67</v>
      </c>
      <c r="C8" s="11" t="s">
        <v>68</v>
      </c>
      <c r="D8" s="11" t="s">
        <v>69</v>
      </c>
      <c r="E8" s="11" t="s">
        <v>70</v>
      </c>
      <c r="F8" s="11" t="s">
        <v>71</v>
      </c>
      <c r="G8" s="11" t="s">
        <v>72</v>
      </c>
      <c r="H8" s="11" t="s">
        <v>73</v>
      </c>
      <c r="I8" s="11" t="s">
        <v>74</v>
      </c>
      <c r="J8" s="11" t="s">
        <v>75</v>
      </c>
      <c r="K8" s="11" t="s">
        <v>76</v>
      </c>
      <c r="L8" s="11" t="s">
        <v>57</v>
      </c>
      <c r="M8" s="11" t="s">
        <v>58</v>
      </c>
      <c r="N8" s="11" t="s">
        <v>59</v>
      </c>
      <c r="O8" s="11" t="s">
        <v>60</v>
      </c>
      <c r="P8" s="11" t="s">
        <v>61</v>
      </c>
      <c r="Q8" s="11" t="s">
        <v>62</v>
      </c>
      <c r="R8" s="11" t="s">
        <v>63</v>
      </c>
      <c r="S8" s="11" t="s">
        <v>64</v>
      </c>
      <c r="T8" s="11" t="s">
        <v>65</v>
      </c>
      <c r="U8" s="11" t="s">
        <v>66</v>
      </c>
    </row>
    <row r="9" spans="1:21" x14ac:dyDescent="0.3">
      <c r="A9" s="20" t="str">
        <f>gurobi!A9</f>
        <v>(150, 120, 130, 4)</v>
      </c>
      <c r="B9" s="11" t="s">
        <v>87</v>
      </c>
      <c r="C9" s="11" t="s">
        <v>88</v>
      </c>
      <c r="D9" s="11" t="s">
        <v>89</v>
      </c>
      <c r="E9" s="11" t="s">
        <v>90</v>
      </c>
      <c r="F9" s="11" t="s">
        <v>91</v>
      </c>
      <c r="G9" s="11" t="s">
        <v>92</v>
      </c>
      <c r="H9" s="11" t="s">
        <v>93</v>
      </c>
      <c r="I9" s="11" t="s">
        <v>94</v>
      </c>
      <c r="J9" s="11" t="s">
        <v>95</v>
      </c>
      <c r="K9" s="11" t="s">
        <v>96</v>
      </c>
      <c r="L9" s="11" t="s">
        <v>77</v>
      </c>
      <c r="M9" s="11" t="s">
        <v>78</v>
      </c>
      <c r="N9" s="11" t="s">
        <v>79</v>
      </c>
      <c r="O9" s="11" t="s">
        <v>80</v>
      </c>
      <c r="P9" s="11" t="s">
        <v>81</v>
      </c>
      <c r="Q9" s="11" t="s">
        <v>82</v>
      </c>
      <c r="R9" s="11" t="s">
        <v>83</v>
      </c>
      <c r="S9" s="11" t="s">
        <v>84</v>
      </c>
      <c r="T9" s="11" t="s">
        <v>85</v>
      </c>
      <c r="U9" s="11" t="s">
        <v>86</v>
      </c>
    </row>
    <row r="10" spans="1:21" x14ac:dyDescent="0.3">
      <c r="A10" s="20" t="str">
        <f>gurobi!A10</f>
        <v>(200 130, 150, 5)</v>
      </c>
      <c r="B10" s="11" t="s">
        <v>100</v>
      </c>
      <c r="C10" s="11" t="s">
        <v>101</v>
      </c>
      <c r="D10" s="11" t="s">
        <v>102</v>
      </c>
      <c r="E10" s="11" t="s">
        <v>110</v>
      </c>
      <c r="F10" s="11" t="s">
        <v>111</v>
      </c>
      <c r="G10" s="11" t="s">
        <v>112</v>
      </c>
      <c r="H10" s="11" t="s">
        <v>113</v>
      </c>
      <c r="I10" s="11" t="s">
        <v>114</v>
      </c>
      <c r="J10" s="11" t="s">
        <v>115</v>
      </c>
      <c r="K10" s="11" t="s">
        <v>116</v>
      </c>
      <c r="L10" s="11" t="s">
        <v>97</v>
      </c>
      <c r="M10" s="11" t="s">
        <v>98</v>
      </c>
      <c r="N10" s="11" t="s">
        <v>99</v>
      </c>
      <c r="O10" s="11" t="s">
        <v>103</v>
      </c>
      <c r="P10" s="11" t="s">
        <v>104</v>
      </c>
      <c r="Q10" s="11" t="s">
        <v>105</v>
      </c>
      <c r="R10" s="11" t="s">
        <v>106</v>
      </c>
      <c r="S10" s="11" t="s">
        <v>107</v>
      </c>
      <c r="T10" s="11" t="s">
        <v>108</v>
      </c>
      <c r="U10" s="11" t="s">
        <v>109</v>
      </c>
    </row>
    <row r="11" spans="1:21" x14ac:dyDescent="0.3">
      <c r="A11" s="20" t="str">
        <f>gurobi!A11</f>
        <v>(300, 140, 170, 5)</v>
      </c>
      <c r="B11" s="11" t="s">
        <v>48</v>
      </c>
      <c r="C11" s="11" t="s">
        <v>49</v>
      </c>
      <c r="D11" s="11" t="s">
        <v>50</v>
      </c>
      <c r="E11" s="11" t="s">
        <v>51</v>
      </c>
      <c r="F11" s="11" t="s">
        <v>52</v>
      </c>
      <c r="G11" s="11" t="s">
        <v>53</v>
      </c>
      <c r="H11" s="11" t="s">
        <v>54</v>
      </c>
      <c r="I11" s="11" t="s">
        <v>55</v>
      </c>
      <c r="J11" s="11" t="s">
        <v>56</v>
      </c>
      <c r="K11" s="23" t="s">
        <v>118</v>
      </c>
      <c r="L11" s="11" t="s">
        <v>39</v>
      </c>
      <c r="M11" s="11" t="s">
        <v>40</v>
      </c>
      <c r="N11" s="11" t="s">
        <v>41</v>
      </c>
      <c r="O11" s="11" t="s">
        <v>42</v>
      </c>
      <c r="P11" s="11" t="s">
        <v>43</v>
      </c>
      <c r="Q11" s="11" t="s">
        <v>44</v>
      </c>
      <c r="R11" s="11" t="s">
        <v>45</v>
      </c>
      <c r="S11" s="11" t="s">
        <v>46</v>
      </c>
      <c r="T11" s="11" t="s">
        <v>47</v>
      </c>
      <c r="U11" s="24" t="s">
        <v>117</v>
      </c>
    </row>
    <row r="12" spans="1:21" x14ac:dyDescent="0.3">
      <c r="A12" s="20" t="str">
        <f>gurobi!A12</f>
        <v>(400, 150, 170 ,6)</v>
      </c>
      <c r="B12" s="23"/>
      <c r="C12" s="23" t="s">
        <v>120</v>
      </c>
      <c r="D12" s="23"/>
      <c r="E12" s="23"/>
      <c r="F12" s="23"/>
      <c r="G12" s="23"/>
      <c r="H12" s="23"/>
      <c r="I12" s="23"/>
      <c r="J12" s="23"/>
      <c r="K12" s="23"/>
      <c r="L12" s="23"/>
      <c r="M12" s="24" t="s">
        <v>119</v>
      </c>
      <c r="N12" s="24"/>
      <c r="O12" s="24"/>
      <c r="P12" s="24"/>
      <c r="Q12" s="24"/>
      <c r="R12" s="24"/>
      <c r="S12" s="24"/>
      <c r="T12" s="24"/>
      <c r="U12" s="24"/>
    </row>
    <row r="13" spans="1:21" x14ac:dyDescent="0.3">
      <c r="A13" s="20" t="str">
        <f>gurobi!A13</f>
        <v>(600, 150, 200, 6)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4"/>
      <c r="N13" s="24"/>
      <c r="O13" s="24"/>
      <c r="P13" s="24"/>
      <c r="Q13" s="24"/>
      <c r="R13" s="24"/>
      <c r="S13" s="24"/>
      <c r="T13" s="24"/>
      <c r="U13" s="2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U25"/>
  <sheetViews>
    <sheetView tabSelected="1" zoomScale="110" zoomScaleNormal="110" workbookViewId="0">
      <selection activeCell="L16" sqref="L16:L25"/>
    </sheetView>
  </sheetViews>
  <sheetFormatPr defaultColWidth="9.109375" defaultRowHeight="14.4" x14ac:dyDescent="0.3"/>
  <cols>
    <col min="1" max="1" width="15.33203125" style="10" bestFit="1" customWidth="1"/>
    <col min="2" max="2" width="13.5546875" style="12" bestFit="1" customWidth="1"/>
    <col min="3" max="3" width="13.5546875" style="11" bestFit="1" customWidth="1"/>
    <col min="4" max="12" width="13.5546875" style="12" bestFit="1" customWidth="1"/>
    <col min="13" max="13" width="13.5546875" style="11" bestFit="1" customWidth="1"/>
    <col min="14" max="21" width="13.5546875" style="12" bestFit="1" customWidth="1"/>
  </cols>
  <sheetData>
    <row r="1" spans="1:21" x14ac:dyDescent="0.3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</row>
    <row r="2" spans="1:21" x14ac:dyDescent="0.3">
      <c r="A2" s="5" t="str">
        <f>gurobi!A2</f>
        <v>(2, 2, 4, 1)</v>
      </c>
      <c r="B2" s="15"/>
      <c r="C2" s="15">
        <v>0.08</v>
      </c>
      <c r="D2" s="15"/>
      <c r="E2" s="15"/>
      <c r="F2" s="15"/>
      <c r="G2" s="15"/>
      <c r="H2" s="15"/>
      <c r="I2" s="15"/>
      <c r="J2" s="15"/>
      <c r="K2" s="6"/>
      <c r="L2" s="16"/>
      <c r="M2" s="6">
        <v>28554.02</v>
      </c>
      <c r="N2" s="17"/>
      <c r="O2" s="17"/>
      <c r="P2" s="17"/>
      <c r="Q2" s="17"/>
      <c r="R2" s="17"/>
      <c r="S2" s="17"/>
      <c r="T2" s="17"/>
      <c r="U2" s="17"/>
    </row>
    <row r="3" spans="1:21" x14ac:dyDescent="0.3">
      <c r="A3" s="5" t="str">
        <f>gurobi!A3</f>
        <v>(5, 4, 10, 1)</v>
      </c>
      <c r="B3" s="6"/>
      <c r="C3" s="6">
        <v>0.2</v>
      </c>
      <c r="D3" s="6"/>
      <c r="E3" s="6"/>
      <c r="F3" s="6"/>
      <c r="G3" s="6"/>
      <c r="H3" s="6"/>
      <c r="I3" s="6"/>
      <c r="J3" s="6"/>
      <c r="K3" s="6"/>
      <c r="L3" s="7"/>
      <c r="M3" s="6">
        <v>61403.82</v>
      </c>
      <c r="N3" s="17"/>
      <c r="O3" s="17"/>
      <c r="P3" s="17"/>
      <c r="Q3" s="17"/>
      <c r="R3" s="17"/>
      <c r="S3" s="17"/>
      <c r="T3" s="17"/>
      <c r="U3" s="17"/>
    </row>
    <row r="4" spans="1:21" x14ac:dyDescent="0.3">
      <c r="A4" s="5" t="str">
        <f>gurobi!A4</f>
        <v>(10, 8, 20, 2)</v>
      </c>
      <c r="B4" s="6"/>
      <c r="C4" s="6">
        <v>0.89</v>
      </c>
      <c r="D4" s="6"/>
      <c r="E4" s="6"/>
      <c r="F4" s="6"/>
      <c r="G4" s="6"/>
      <c r="H4" s="6"/>
      <c r="I4" s="6"/>
      <c r="J4" s="6"/>
      <c r="K4" s="6"/>
      <c r="L4" s="7"/>
      <c r="M4" s="6">
        <v>192846.27</v>
      </c>
      <c r="N4" s="17"/>
      <c r="O4" s="17"/>
      <c r="P4" s="17"/>
      <c r="Q4" s="17"/>
      <c r="R4" s="17"/>
      <c r="S4" s="17"/>
      <c r="T4" s="17"/>
      <c r="U4" s="17"/>
    </row>
    <row r="5" spans="1:21" x14ac:dyDescent="0.3">
      <c r="A5" s="5" t="str">
        <f>gurobi!A5</f>
        <v>(15, 20, 30, 1)</v>
      </c>
      <c r="B5" s="6"/>
      <c r="C5" s="6">
        <v>3.45</v>
      </c>
      <c r="D5" s="6"/>
      <c r="E5" s="6"/>
      <c r="F5" s="6"/>
      <c r="G5" s="6"/>
      <c r="H5" s="6"/>
      <c r="I5" s="6"/>
      <c r="J5" s="6"/>
      <c r="K5" s="6"/>
      <c r="L5" s="16"/>
      <c r="M5" s="6">
        <v>290975.89</v>
      </c>
      <c r="N5" s="17"/>
      <c r="O5" s="17"/>
      <c r="P5" s="17"/>
      <c r="Q5" s="17"/>
      <c r="R5" s="17"/>
      <c r="S5" s="17"/>
      <c r="T5" s="17"/>
      <c r="U5" s="17"/>
    </row>
    <row r="6" spans="1:21" x14ac:dyDescent="0.3">
      <c r="A6" s="5" t="str">
        <f>gurobi!A6</f>
        <v>(25, 50, 70, 2)</v>
      </c>
      <c r="B6" s="6"/>
      <c r="C6" s="6">
        <v>54.56</v>
      </c>
      <c r="D6" s="6"/>
      <c r="E6" s="6"/>
      <c r="F6" s="6"/>
      <c r="G6" s="6"/>
      <c r="H6" s="6"/>
      <c r="I6" s="6"/>
      <c r="J6" s="6"/>
      <c r="K6" s="6"/>
      <c r="L6" s="7"/>
      <c r="M6" s="6">
        <v>711158.43</v>
      </c>
      <c r="N6" s="17"/>
      <c r="O6" s="17"/>
      <c r="P6" s="17"/>
      <c r="Q6" s="17"/>
      <c r="R6" s="17"/>
      <c r="S6" s="17"/>
      <c r="T6" s="17"/>
      <c r="U6" s="17"/>
    </row>
    <row r="7" spans="1:21" x14ac:dyDescent="0.3">
      <c r="A7" s="5" t="str">
        <f>gurobi!A7</f>
        <v>(70, 120, 100, 3)</v>
      </c>
      <c r="B7" s="6"/>
      <c r="C7" s="6">
        <v>121.73</v>
      </c>
      <c r="D7" s="6"/>
      <c r="E7" s="6"/>
      <c r="F7" s="6"/>
      <c r="G7" s="6"/>
      <c r="H7" s="6"/>
      <c r="I7" s="6"/>
      <c r="J7" s="6"/>
      <c r="K7" s="6"/>
      <c r="L7" s="7"/>
      <c r="M7" s="6">
        <v>1375625.93</v>
      </c>
      <c r="N7" s="17"/>
      <c r="O7" s="17"/>
      <c r="P7" s="17"/>
      <c r="Q7" s="17"/>
      <c r="R7" s="17"/>
      <c r="S7" s="17"/>
      <c r="T7" s="17"/>
      <c r="U7" s="17"/>
    </row>
    <row r="8" spans="1:21" x14ac:dyDescent="0.3">
      <c r="A8" s="5" t="str">
        <f>gurobi!A8</f>
        <v>(100, 120, 100, 4)</v>
      </c>
      <c r="B8" s="6"/>
      <c r="C8" s="6">
        <v>145.80000000000001</v>
      </c>
      <c r="D8" s="6"/>
      <c r="E8" s="6"/>
      <c r="F8" s="6"/>
      <c r="G8" s="6"/>
      <c r="H8" s="6"/>
      <c r="I8" s="6"/>
      <c r="J8" s="6"/>
      <c r="K8" s="6"/>
      <c r="L8" s="7"/>
      <c r="M8" s="6">
        <v>1910534</v>
      </c>
      <c r="N8" s="17"/>
      <c r="O8" s="17"/>
      <c r="P8" s="17"/>
      <c r="Q8" s="17"/>
      <c r="R8" s="17"/>
      <c r="S8" s="17"/>
      <c r="T8" s="17"/>
      <c r="U8" s="17"/>
    </row>
    <row r="9" spans="1:21" x14ac:dyDescent="0.3">
      <c r="A9" s="5" t="str">
        <f>gurobi!A9</f>
        <v>(150, 120, 130, 4)</v>
      </c>
      <c r="B9" s="6"/>
      <c r="C9" s="6">
        <v>324.61</v>
      </c>
      <c r="D9" s="6"/>
      <c r="E9" s="6"/>
      <c r="F9" s="6"/>
      <c r="G9" s="6"/>
      <c r="H9" s="6"/>
      <c r="I9" s="6"/>
      <c r="J9" s="6"/>
      <c r="K9" s="6"/>
      <c r="L9" s="18"/>
      <c r="M9" s="7">
        <v>2231138.58</v>
      </c>
      <c r="N9" s="17"/>
      <c r="O9" s="17"/>
      <c r="P9" s="17"/>
      <c r="Q9" s="17"/>
      <c r="R9" s="17"/>
      <c r="S9" s="17"/>
      <c r="T9" s="17"/>
      <c r="U9" s="17"/>
    </row>
    <row r="10" spans="1:21" x14ac:dyDescent="0.3">
      <c r="A10" s="5" t="str">
        <f>gurobi!A10</f>
        <v>(200 130, 150, 5)</v>
      </c>
      <c r="B10" s="6" t="s">
        <v>142</v>
      </c>
      <c r="C10" s="6">
        <v>478.5</v>
      </c>
      <c r="D10" s="6"/>
      <c r="E10" s="6"/>
      <c r="F10" s="6"/>
      <c r="G10" s="6"/>
      <c r="H10" s="6"/>
      <c r="I10" s="6"/>
      <c r="J10" s="6"/>
      <c r="K10" s="6"/>
      <c r="L10" s="7" t="s">
        <v>141</v>
      </c>
      <c r="M10" s="6">
        <v>3532140.5077788699</v>
      </c>
      <c r="N10" s="17"/>
      <c r="O10" s="17"/>
      <c r="P10" s="17"/>
      <c r="Q10" s="17"/>
      <c r="R10" s="17"/>
      <c r="S10" s="17"/>
      <c r="T10" s="17"/>
      <c r="U10" s="17"/>
    </row>
    <row r="11" spans="1:21" x14ac:dyDescent="0.3">
      <c r="A11" s="5" t="str">
        <f>gurobi!A11</f>
        <v>(300, 140, 170, 5)</v>
      </c>
      <c r="B11" s="10" t="s">
        <v>131</v>
      </c>
      <c r="C11" s="10" t="s">
        <v>132</v>
      </c>
      <c r="D11" s="10" t="s">
        <v>133</v>
      </c>
      <c r="E11" s="10" t="s">
        <v>134</v>
      </c>
      <c r="F11" s="10" t="s">
        <v>135</v>
      </c>
      <c r="G11" s="10" t="s">
        <v>136</v>
      </c>
      <c r="H11" s="10" t="s">
        <v>137</v>
      </c>
      <c r="I11" s="10" t="s">
        <v>138</v>
      </c>
      <c r="J11" s="10" t="s">
        <v>139</v>
      </c>
      <c r="K11" s="10" t="s">
        <v>140</v>
      </c>
      <c r="L11" s="11" t="s">
        <v>121</v>
      </c>
      <c r="M11" s="11" t="s">
        <v>122</v>
      </c>
      <c r="N11" s="11" t="s">
        <v>123</v>
      </c>
      <c r="O11" s="11" t="s">
        <v>124</v>
      </c>
      <c r="P11" s="11" t="s">
        <v>125</v>
      </c>
      <c r="Q11" s="11" t="s">
        <v>126</v>
      </c>
      <c r="R11" s="11" t="s">
        <v>127</v>
      </c>
      <c r="S11" s="11" t="s">
        <v>128</v>
      </c>
      <c r="T11" s="11" t="s">
        <v>129</v>
      </c>
      <c r="U11" s="11" t="s">
        <v>130</v>
      </c>
    </row>
    <row r="12" spans="1:21" x14ac:dyDescent="0.3">
      <c r="A12" s="5" t="str">
        <f>gurobi!A12</f>
        <v>(400, 150, 170 ,6)</v>
      </c>
      <c r="B12" s="6"/>
      <c r="C12" s="6">
        <v>1660.67</v>
      </c>
      <c r="D12" s="6"/>
      <c r="E12" s="6"/>
      <c r="F12" s="6"/>
      <c r="G12" s="6"/>
      <c r="H12" s="6"/>
      <c r="I12" s="6"/>
      <c r="J12" s="6"/>
      <c r="K12" s="6"/>
      <c r="L12" s="7"/>
      <c r="M12" s="6">
        <v>5677458.7999999998</v>
      </c>
      <c r="N12" s="17"/>
      <c r="O12" s="17"/>
      <c r="P12" s="17"/>
      <c r="Q12" s="17"/>
      <c r="R12" s="17"/>
      <c r="S12" s="17"/>
      <c r="T12" s="17"/>
      <c r="U12" s="17"/>
    </row>
    <row r="13" spans="1:21" x14ac:dyDescent="0.3">
      <c r="A13" s="5" t="str">
        <f>gurobi!A13</f>
        <v>(600, 150, 200, 6)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9"/>
      <c r="M13" s="8"/>
      <c r="N13" s="19"/>
      <c r="O13" s="19"/>
      <c r="P13" s="19"/>
      <c r="Q13" s="19"/>
      <c r="R13" s="19"/>
      <c r="S13" s="19"/>
      <c r="T13" s="19"/>
      <c r="U13" s="19"/>
    </row>
    <row r="16" spans="1:21" x14ac:dyDescent="0.3">
      <c r="L16" s="12" t="s">
        <v>121</v>
      </c>
    </row>
    <row r="17" spans="12:12" x14ac:dyDescent="0.3">
      <c r="L17" s="12" t="s">
        <v>122</v>
      </c>
    </row>
    <row r="18" spans="12:12" x14ac:dyDescent="0.3">
      <c r="L18" s="12" t="s">
        <v>123</v>
      </c>
    </row>
    <row r="19" spans="12:12" x14ac:dyDescent="0.3">
      <c r="L19" s="12" t="s">
        <v>124</v>
      </c>
    </row>
    <row r="20" spans="12:12" x14ac:dyDescent="0.3">
      <c r="L20" s="12" t="s">
        <v>125</v>
      </c>
    </row>
    <row r="21" spans="12:12" x14ac:dyDescent="0.3">
      <c r="L21" s="12" t="s">
        <v>126</v>
      </c>
    </row>
    <row r="22" spans="12:12" x14ac:dyDescent="0.3">
      <c r="L22" s="12" t="s">
        <v>127</v>
      </c>
    </row>
    <row r="23" spans="12:12" x14ac:dyDescent="0.3">
      <c r="L23" s="12" t="s">
        <v>129</v>
      </c>
    </row>
    <row r="24" spans="12:12" x14ac:dyDescent="0.3">
      <c r="L24" s="12" t="s">
        <v>130</v>
      </c>
    </row>
    <row r="25" spans="12:12" x14ac:dyDescent="0.3">
      <c r="L25" s="12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U13"/>
  <sheetViews>
    <sheetView zoomScale="110" zoomScaleNormal="110" workbookViewId="0">
      <selection activeCell="A11" sqref="A11:XFD11"/>
    </sheetView>
  </sheetViews>
  <sheetFormatPr defaultColWidth="9.109375" defaultRowHeight="14.4" x14ac:dyDescent="0.3"/>
  <cols>
    <col min="1" max="1" width="15" style="10" bestFit="1" customWidth="1"/>
    <col min="2" max="2" width="13.5546875" style="12" bestFit="1" customWidth="1"/>
    <col min="3" max="3" width="13.5546875" style="11" bestFit="1" customWidth="1"/>
    <col min="4" max="12" width="13.5546875" style="12" bestFit="1" customWidth="1"/>
    <col min="13" max="13" width="13.5546875" style="13" bestFit="1" customWidth="1"/>
    <col min="14" max="21" width="13.5546875" style="14" bestFit="1" customWidth="1"/>
  </cols>
  <sheetData>
    <row r="1" spans="1:21" x14ac:dyDescent="0.3">
      <c r="A1" s="1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2" t="s">
        <v>12</v>
      </c>
      <c r="N1" s="4" t="s">
        <v>13</v>
      </c>
      <c r="O1" s="3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4" t="s">
        <v>19</v>
      </c>
      <c r="U1" s="3" t="s">
        <v>20</v>
      </c>
    </row>
    <row r="2" spans="1:21" x14ac:dyDescent="0.3">
      <c r="A2" s="5" t="s">
        <v>21</v>
      </c>
      <c r="B2" s="31"/>
      <c r="C2" s="32">
        <v>0.02</v>
      </c>
      <c r="D2" s="31"/>
      <c r="E2" s="31"/>
      <c r="F2" s="31"/>
      <c r="G2" s="31"/>
      <c r="H2" s="31"/>
      <c r="I2" s="31"/>
      <c r="J2" s="31"/>
      <c r="K2" s="32"/>
      <c r="L2" s="33"/>
      <c r="M2" s="32">
        <v>28554.02</v>
      </c>
      <c r="N2" s="34"/>
      <c r="O2" s="34"/>
      <c r="P2" s="34"/>
      <c r="Q2" s="34"/>
      <c r="R2" s="34"/>
      <c r="S2" s="34"/>
      <c r="T2" s="34"/>
      <c r="U2" s="34"/>
    </row>
    <row r="3" spans="1:21" x14ac:dyDescent="0.3">
      <c r="A3" s="5" t="s">
        <v>22</v>
      </c>
      <c r="B3" s="32"/>
      <c r="C3" s="32">
        <v>0.11</v>
      </c>
      <c r="D3" s="32"/>
      <c r="E3" s="32"/>
      <c r="F3" s="32"/>
      <c r="G3" s="32"/>
      <c r="H3" s="32"/>
      <c r="I3" s="32"/>
      <c r="J3" s="32"/>
      <c r="K3" s="32"/>
      <c r="L3" s="35"/>
      <c r="M3" s="32">
        <v>61404.51</v>
      </c>
      <c r="N3" s="34"/>
      <c r="O3" s="34"/>
      <c r="P3" s="34"/>
      <c r="Q3" s="34"/>
      <c r="R3" s="34"/>
      <c r="S3" s="34"/>
      <c r="T3" s="34"/>
      <c r="U3" s="34"/>
    </row>
    <row r="4" spans="1:21" x14ac:dyDescent="0.3">
      <c r="A4" s="5" t="s">
        <v>23</v>
      </c>
      <c r="B4" s="32"/>
      <c r="C4" s="32">
        <v>0.55000000000000004</v>
      </c>
      <c r="D4" s="32"/>
      <c r="E4" s="32"/>
      <c r="F4" s="32"/>
      <c r="G4" s="32"/>
      <c r="H4" s="32"/>
      <c r="I4" s="32"/>
      <c r="J4" s="32"/>
      <c r="K4" s="32"/>
      <c r="L4" s="35"/>
      <c r="M4" s="32">
        <v>192860.78</v>
      </c>
      <c r="N4" s="34"/>
      <c r="O4" s="34"/>
      <c r="P4" s="34"/>
      <c r="Q4" s="34"/>
      <c r="R4" s="34"/>
      <c r="S4" s="34"/>
      <c r="T4" s="34"/>
      <c r="U4" s="34"/>
    </row>
    <row r="5" spans="1:21" x14ac:dyDescent="0.3">
      <c r="A5" s="5" t="s">
        <v>24</v>
      </c>
      <c r="B5" s="32"/>
      <c r="C5" s="32">
        <v>2.33</v>
      </c>
      <c r="D5" s="32"/>
      <c r="E5" s="32"/>
      <c r="F5" s="32"/>
      <c r="G5" s="32"/>
      <c r="H5" s="32"/>
      <c r="I5" s="32"/>
      <c r="J5" s="32"/>
      <c r="K5" s="32"/>
      <c r="L5" s="33"/>
      <c r="M5" s="32">
        <v>291738.36</v>
      </c>
      <c r="N5" s="34"/>
      <c r="O5" s="34"/>
      <c r="P5" s="34"/>
      <c r="Q5" s="34"/>
      <c r="R5" s="34"/>
      <c r="S5" s="34"/>
      <c r="T5" s="34"/>
      <c r="U5" s="34"/>
    </row>
    <row r="6" spans="1:21" x14ac:dyDescent="0.3">
      <c r="A6" s="5" t="s">
        <v>25</v>
      </c>
      <c r="B6" s="32"/>
      <c r="C6" s="32">
        <v>26.7</v>
      </c>
      <c r="D6" s="32"/>
      <c r="E6" s="32"/>
      <c r="F6" s="32"/>
      <c r="G6" s="32"/>
      <c r="H6" s="32"/>
      <c r="I6" s="32"/>
      <c r="J6" s="32"/>
      <c r="K6" s="32"/>
      <c r="L6" s="35"/>
      <c r="M6" s="32">
        <v>713225.65</v>
      </c>
      <c r="N6" s="34"/>
      <c r="O6" s="34"/>
      <c r="P6" s="34"/>
      <c r="Q6" s="34"/>
      <c r="R6" s="34"/>
      <c r="S6" s="34"/>
      <c r="T6" s="34"/>
      <c r="U6" s="34"/>
    </row>
    <row r="7" spans="1:21" x14ac:dyDescent="0.3">
      <c r="A7" s="5" t="s">
        <v>26</v>
      </c>
      <c r="B7" s="32"/>
      <c r="C7" s="32">
        <v>70.47</v>
      </c>
      <c r="D7" s="32"/>
      <c r="E7" s="32"/>
      <c r="F7" s="32"/>
      <c r="G7" s="32"/>
      <c r="H7" s="32"/>
      <c r="I7" s="32"/>
      <c r="J7" s="32"/>
      <c r="K7" s="32"/>
      <c r="L7" s="35"/>
      <c r="M7" s="32">
        <v>1379630.05</v>
      </c>
      <c r="N7" s="34"/>
      <c r="O7" s="34"/>
      <c r="P7" s="34"/>
      <c r="Q7" s="34"/>
      <c r="R7" s="34"/>
      <c r="S7" s="34"/>
      <c r="T7" s="34"/>
      <c r="U7" s="34"/>
    </row>
    <row r="8" spans="1:21" x14ac:dyDescent="0.3">
      <c r="A8" s="5" t="s">
        <v>27</v>
      </c>
      <c r="B8" s="32"/>
      <c r="C8" s="32">
        <v>112.62</v>
      </c>
      <c r="D8" s="32"/>
      <c r="E8" s="32"/>
      <c r="F8" s="32"/>
      <c r="G8" s="32"/>
      <c r="H8" s="32"/>
      <c r="I8" s="32"/>
      <c r="J8" s="32"/>
      <c r="K8" s="32"/>
      <c r="L8" s="35"/>
      <c r="M8" s="32">
        <v>1912370.52</v>
      </c>
      <c r="N8" s="34"/>
      <c r="O8" s="34"/>
      <c r="P8" s="34"/>
      <c r="Q8" s="34"/>
      <c r="R8" s="34"/>
      <c r="S8" s="34"/>
      <c r="T8" s="34"/>
      <c r="U8" s="34"/>
    </row>
    <row r="9" spans="1:21" x14ac:dyDescent="0.3">
      <c r="A9" s="5" t="str">
        <f>gurobi!A9</f>
        <v>(150, 120, 130, 4)</v>
      </c>
      <c r="B9" s="34"/>
      <c r="C9" s="32">
        <v>171.45</v>
      </c>
      <c r="D9" s="32"/>
      <c r="E9" s="32"/>
      <c r="F9" s="32"/>
      <c r="G9" s="32"/>
      <c r="H9" s="32"/>
      <c r="I9" s="32"/>
      <c r="J9" s="32"/>
      <c r="K9" s="32"/>
      <c r="L9" s="35"/>
      <c r="M9" s="32">
        <v>2236807.13</v>
      </c>
      <c r="N9" s="34"/>
      <c r="O9" s="34"/>
      <c r="P9" s="34"/>
      <c r="Q9" s="34"/>
      <c r="R9" s="34"/>
      <c r="S9" s="34"/>
      <c r="T9" s="34"/>
      <c r="U9" s="34"/>
    </row>
    <row r="10" spans="1:21" x14ac:dyDescent="0.3">
      <c r="A10" s="5" t="str">
        <f>gurobi!A10</f>
        <v>(200 130, 150, 5)</v>
      </c>
      <c r="B10" s="32"/>
      <c r="C10" s="32">
        <v>379.66</v>
      </c>
      <c r="D10" s="32"/>
      <c r="E10" s="32"/>
      <c r="F10" s="32"/>
      <c r="G10" s="32"/>
      <c r="H10" s="32"/>
      <c r="I10" s="32"/>
      <c r="J10" s="32"/>
      <c r="K10" s="32"/>
      <c r="L10" s="35"/>
      <c r="M10" s="32">
        <v>3545838.99</v>
      </c>
      <c r="N10" s="34"/>
      <c r="O10" s="34"/>
      <c r="P10" s="34"/>
      <c r="Q10" s="34"/>
      <c r="R10" s="34"/>
      <c r="S10" s="34"/>
      <c r="T10" s="34"/>
      <c r="U10" s="34"/>
    </row>
    <row r="11" spans="1:21" x14ac:dyDescent="0.3">
      <c r="A11" s="5" t="str">
        <f>gurobi!A11</f>
        <v>(300, 140, 170, 5)</v>
      </c>
      <c r="B11" s="32"/>
      <c r="C11" s="36">
        <v>315.86</v>
      </c>
      <c r="D11" s="32"/>
      <c r="E11" s="32"/>
      <c r="F11" s="32"/>
      <c r="G11" s="32"/>
      <c r="H11" s="32"/>
      <c r="I11" s="32"/>
      <c r="J11" s="32"/>
      <c r="K11" s="32"/>
      <c r="L11" s="35"/>
      <c r="M11" s="36">
        <v>4316730.67</v>
      </c>
      <c r="N11" s="34"/>
      <c r="O11" s="34"/>
      <c r="P11" s="34"/>
      <c r="Q11" s="34"/>
      <c r="R11" s="34"/>
      <c r="S11" s="34"/>
      <c r="T11" s="34"/>
      <c r="U11" s="34"/>
    </row>
    <row r="12" spans="1:21" x14ac:dyDescent="0.3">
      <c r="A12" s="5" t="str">
        <f>gurobi!A12</f>
        <v>(400, 150, 170 ,6)</v>
      </c>
      <c r="B12" s="32"/>
      <c r="C12" s="32">
        <v>444</v>
      </c>
      <c r="D12" s="32"/>
      <c r="E12" s="32"/>
      <c r="F12" s="32"/>
      <c r="G12" s="32"/>
      <c r="H12" s="32"/>
      <c r="I12" s="32"/>
      <c r="J12" s="32"/>
      <c r="K12" s="32"/>
      <c r="L12" s="35"/>
      <c r="M12" s="32">
        <v>5657525.1299999999</v>
      </c>
      <c r="N12" s="34"/>
      <c r="O12" s="34"/>
      <c r="P12" s="34"/>
      <c r="Q12" s="34"/>
      <c r="R12" s="34"/>
      <c r="S12" s="34"/>
      <c r="T12" s="34"/>
      <c r="U12" s="34"/>
    </row>
    <row r="13" spans="1:21" x14ac:dyDescent="0.3">
      <c r="A13" s="5" t="str">
        <f>gurobi!A13</f>
        <v>(600, 150, 200, 6)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  <c r="M13" s="37"/>
      <c r="N13" s="39"/>
      <c r="O13" s="39"/>
      <c r="P13" s="39"/>
      <c r="Q13" s="39"/>
      <c r="R13" s="39"/>
      <c r="S13" s="39"/>
      <c r="T13" s="39"/>
      <c r="U13" s="3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gurobi</vt:lpstr>
      <vt:lpstr>vns</vt:lpstr>
      <vt:lpstr>vns-ql</vt:lpstr>
      <vt:lpstr>as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Clément BAMOGO</dc:creator>
  <cp:lastModifiedBy>Clément BAMOGO</cp:lastModifiedBy>
  <dcterms:created xsi:type="dcterms:W3CDTF">2026-02-03T16:06:13Z</dcterms:created>
  <dcterms:modified xsi:type="dcterms:W3CDTF">2026-02-06T04:09:06Z</dcterms:modified>
</cp:coreProperties>
</file>