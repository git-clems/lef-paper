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uirabat-my.sharepoint.com/personal/clement_bamogo_uir_ac_ma/Documents/Bureau/PhD/Paper 1/Code/lef-paper/Result_computational/"/>
    </mc:Choice>
  </mc:AlternateContent>
  <xr:revisionPtr revIDLastSave="339" documentId="8_{2423F7B1-EE68-4FA2-A658-9DB2F0A4E065}" xr6:coauthVersionLast="47" xr6:coauthVersionMax="47" xr10:uidLastSave="{C1FDB23C-B657-4272-B9D2-AFCD08814B30}"/>
  <bookViews>
    <workbookView xWindow="-108" yWindow="-108" windowWidth="23256" windowHeight="12456" activeTab="3" xr2:uid="{00000000-000D-0000-FFFF-FFFF00000000}"/>
  </bookViews>
  <sheets>
    <sheet name="gurobi" sheetId="1" r:id="rId1"/>
    <sheet name="vns" sheetId="2" r:id="rId2"/>
    <sheet name="as" sheetId="4" r:id="rId3"/>
    <sheet name="vns-ql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2" i="4"/>
  <c r="A2" i="2"/>
  <c r="A13" i="3"/>
  <c r="A12" i="3"/>
  <c r="A11" i="3"/>
  <c r="A10" i="3"/>
  <c r="A9" i="3"/>
  <c r="A8" i="3"/>
  <c r="A7" i="3"/>
  <c r="A6" i="3"/>
  <c r="A5" i="3"/>
  <c r="A4" i="3"/>
  <c r="A3" i="3"/>
  <c r="A2" i="3"/>
  <c r="A13" i="2"/>
  <c r="A12" i="2"/>
  <c r="A11" i="2"/>
  <c r="A10" i="2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<sst xmlns="http://schemas.openxmlformats.org/spreadsheetml/2006/main" count="248" uniqueCount="155">
  <si>
    <t>Instance</t>
  </si>
  <si>
    <t>time_1</t>
  </si>
  <si>
    <t>time_2</t>
  </si>
  <si>
    <t>time_3</t>
  </si>
  <si>
    <t>time_4</t>
  </si>
  <si>
    <t>time_5</t>
  </si>
  <si>
    <t>time_6</t>
  </si>
  <si>
    <t>time_7</t>
  </si>
  <si>
    <t>time_8</t>
  </si>
  <si>
    <t>time_9</t>
  </si>
  <si>
    <t>time_10</t>
  </si>
  <si>
    <t>cost_1</t>
  </si>
  <si>
    <t>cost_2</t>
  </si>
  <si>
    <t>cost_3</t>
  </si>
  <si>
    <t>cost_4</t>
  </si>
  <si>
    <t>cost_5</t>
  </si>
  <si>
    <t>cost_6</t>
  </si>
  <si>
    <t>cost_7</t>
  </si>
  <si>
    <t>cost_8</t>
  </si>
  <si>
    <t>cost_9</t>
  </si>
  <si>
    <t>cost_10</t>
  </si>
  <si>
    <t>(5, 4, 10, 1)</t>
  </si>
  <si>
    <t>cost</t>
  </si>
  <si>
    <t>gap</t>
  </si>
  <si>
    <t>(2, 2, 4, 1)</t>
  </si>
  <si>
    <t>(10, 8, 20, 2)</t>
  </si>
  <si>
    <t>(70, 120, 100, 3)</t>
  </si>
  <si>
    <t>(100, 120, 100, 4)</t>
  </si>
  <si>
    <t>(150, 120, 130, 4)</t>
  </si>
  <si>
    <t>(300, 140, 170, 5)</t>
  </si>
  <si>
    <t>(400, 150, 170 ,6)</t>
  </si>
  <si>
    <t>(600, 150, 200, 6)</t>
  </si>
  <si>
    <t>1374550.09</t>
  </si>
  <si>
    <t>32.44</t>
  </si>
  <si>
    <t>1374715.11</t>
  </si>
  <si>
    <t>34.3</t>
  </si>
  <si>
    <t>1375778.04</t>
  </si>
  <si>
    <t>31.98</t>
  </si>
  <si>
    <t>1375900.09</t>
  </si>
  <si>
    <t>32.66</t>
  </si>
  <si>
    <t>1375428.87</t>
  </si>
  <si>
    <t>1374689.17</t>
  </si>
  <si>
    <t>32.3</t>
  </si>
  <si>
    <t>1374584.31</t>
  </si>
  <si>
    <t>65.14</t>
  </si>
  <si>
    <t>1374790.32</t>
  </si>
  <si>
    <t>59.36</t>
  </si>
  <si>
    <t>1375987.36</t>
  </si>
  <si>
    <t>32.47</t>
  </si>
  <si>
    <t>1375064.41</t>
  </si>
  <si>
    <t>36.62</t>
  </si>
  <si>
    <t>28554.02</t>
  </si>
  <si>
    <t>0.05</t>
  </si>
  <si>
    <t>0.03</t>
  </si>
  <si>
    <t>61403.82</t>
  </si>
  <si>
    <t>0.11</t>
  </si>
  <si>
    <t>61402.05</t>
  </si>
  <si>
    <t>0.09</t>
  </si>
  <si>
    <t>61403.75</t>
  </si>
  <si>
    <t>61405.36</t>
  </si>
  <si>
    <t>192843.64</t>
  </si>
  <si>
    <t>0.38</t>
  </si>
  <si>
    <t>192846.27</t>
  </si>
  <si>
    <t>0.39</t>
  </si>
  <si>
    <t>192854.92</t>
  </si>
  <si>
    <t>192819.81</t>
  </si>
  <si>
    <t>192857.02</t>
  </si>
  <si>
    <t>0.44</t>
  </si>
  <si>
    <t>192873.7</t>
  </si>
  <si>
    <t>0.42</t>
  </si>
  <si>
    <t>0.41</t>
  </si>
  <si>
    <t>192825.13</t>
  </si>
  <si>
    <t>192819.54</t>
  </si>
  <si>
    <t>291079.74</t>
  </si>
  <si>
    <t>1.7</t>
  </si>
  <si>
    <t>290919.61</t>
  </si>
  <si>
    <t>1.55</t>
  </si>
  <si>
    <t>290975.64</t>
  </si>
  <si>
    <t>5.12</t>
  </si>
  <si>
    <t>290964.15</t>
  </si>
  <si>
    <t>1.62</t>
  </si>
  <si>
    <t>290955.23</t>
  </si>
  <si>
    <t>290928.15</t>
  </si>
  <si>
    <t>1.53</t>
  </si>
  <si>
    <t>291005.6</t>
  </si>
  <si>
    <t>2.94</t>
  </si>
  <si>
    <t>290920.6</t>
  </si>
  <si>
    <t>5.31</t>
  </si>
  <si>
    <t>290935.23</t>
  </si>
  <si>
    <t>5.88</t>
  </si>
  <si>
    <t>290934.66</t>
  </si>
  <si>
    <t>4.94</t>
  </si>
  <si>
    <t>710460.33</t>
  </si>
  <si>
    <t>16.95</t>
  </si>
  <si>
    <t>710639.69</t>
  </si>
  <si>
    <t>16.64</t>
  </si>
  <si>
    <t>710427.7</t>
  </si>
  <si>
    <t>16.23</t>
  </si>
  <si>
    <t>710427.89</t>
  </si>
  <si>
    <t>15.98</t>
  </si>
  <si>
    <t>710616.72</t>
  </si>
  <si>
    <t>22.08</t>
  </si>
  <si>
    <t>710283.92</t>
  </si>
  <si>
    <t>19.62</t>
  </si>
  <si>
    <t>710509.73</t>
  </si>
  <si>
    <t>15.64</t>
  </si>
  <si>
    <t>710556.34</t>
  </si>
  <si>
    <t>15.97</t>
  </si>
  <si>
    <t>710310.05</t>
  </si>
  <si>
    <t>15.22</t>
  </si>
  <si>
    <t>710939.81</t>
  </si>
  <si>
    <t>15.58</t>
  </si>
  <si>
    <t>(200, 130, 150, 5)</t>
  </si>
  <si>
    <t>6131129.95</t>
  </si>
  <si>
    <t>155.17</t>
  </si>
  <si>
    <t>6128928.7</t>
  </si>
  <si>
    <t>157.47</t>
  </si>
  <si>
    <t>6132892.18</t>
  </si>
  <si>
    <t>154.38</t>
  </si>
  <si>
    <t>6130154.56</t>
  </si>
  <si>
    <t>155.81</t>
  </si>
  <si>
    <t>6129722.87</t>
  </si>
  <si>
    <t>156.47</t>
  </si>
  <si>
    <t>6137381.53</t>
  </si>
  <si>
    <t>156.05</t>
  </si>
  <si>
    <t>6134690.95</t>
  </si>
  <si>
    <t>154.44</t>
  </si>
  <si>
    <t>6129750.29</t>
  </si>
  <si>
    <t>153.64</t>
  </si>
  <si>
    <t>6132189.58</t>
  </si>
  <si>
    <t>228.44</t>
  </si>
  <si>
    <t>6128955.81</t>
  </si>
  <si>
    <t>225.86</t>
  </si>
  <si>
    <t>6131054.54</t>
  </si>
  <si>
    <t>1374.09</t>
  </si>
  <si>
    <t>6134006.77</t>
  </si>
  <si>
    <t>1409.00</t>
  </si>
  <si>
    <t>6130687.86</t>
  </si>
  <si>
    <t>1421.44</t>
  </si>
  <si>
    <t>6134101.39</t>
  </si>
  <si>
    <t>1400.11</t>
  </si>
  <si>
    <t>6129175.59</t>
  </si>
  <si>
    <t>1395.12</t>
  </si>
  <si>
    <t>6130572.45</t>
  </si>
  <si>
    <t>1391.42</t>
  </si>
  <si>
    <t>6140106.61</t>
  </si>
  <si>
    <t>1382.59</t>
  </si>
  <si>
    <t>6132592.39</t>
  </si>
  <si>
    <t>1423.20</t>
  </si>
  <si>
    <t>6130952.48</t>
  </si>
  <si>
    <t>2054.05</t>
  </si>
  <si>
    <t>6140297.25</t>
  </si>
  <si>
    <t>3090.09</t>
  </si>
  <si>
    <t>(20, 20, 30, 2)</t>
  </si>
  <si>
    <t>(50, 80, 70, 3)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</si>
</sst>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#,##0.000000"/>
    <numFmt numFmtId="166" formatCode="#,##0.000%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right"/>
    </xf>
    <xf numFmtId="165" fontId="0" fillId="0" borderId="0" xfId="0" applyNumberFormat="1" applyAlignment="1">
      <alignment horizontal="right"/>
    </xf>
    <xf numFmtId="0" fontId="1" fillId="0" borderId="3" xfId="0" applyFont="1" applyBorder="1" applyAlignment="1">
      <alignment horizontal="center"/>
    </xf>
    <xf numFmtId="4" fontId="1" fillId="0" borderId="4" xfId="0" applyNumberFormat="1" applyFont="1" applyBorder="1" applyAlignment="1">
      <alignment horizontal="center"/>
    </xf>
    <xf numFmtId="0" fontId="1" fillId="0" borderId="6" xfId="0" applyFont="1" applyBorder="1" applyAlignment="1">
      <alignment horizontal="right"/>
    </xf>
    <xf numFmtId="4" fontId="1" fillId="0" borderId="2" xfId="0" applyNumberFormat="1" applyFont="1" applyBorder="1" applyAlignment="1">
      <alignment horizontal="right"/>
    </xf>
    <xf numFmtId="165" fontId="1" fillId="0" borderId="7" xfId="0" applyNumberFormat="1" applyFont="1" applyBorder="1" applyAlignment="1">
      <alignment horizontal="right"/>
    </xf>
    <xf numFmtId="0" fontId="1" fillId="0" borderId="6" xfId="0" applyFont="1" applyBorder="1" applyAlignment="1">
      <alignment horizontal="right" wrapText="1"/>
    </xf>
    <xf numFmtId="4" fontId="1" fillId="0" borderId="7" xfId="0" applyNumberFormat="1" applyFont="1" applyBorder="1" applyAlignment="1">
      <alignment horizontal="right"/>
    </xf>
    <xf numFmtId="164" fontId="1" fillId="0" borderId="7" xfId="0" applyNumberFormat="1" applyFont="1" applyBorder="1" applyAlignment="1">
      <alignment horizontal="right"/>
    </xf>
    <xf numFmtId="0" fontId="1" fillId="0" borderId="8" xfId="0" applyFont="1" applyBorder="1" applyAlignment="1">
      <alignment horizontal="right" wrapText="1"/>
    </xf>
    <xf numFmtId="4" fontId="1" fillId="0" borderId="9" xfId="0" applyNumberFormat="1" applyFont="1" applyBorder="1" applyAlignment="1">
      <alignment horizontal="right"/>
    </xf>
    <xf numFmtId="165" fontId="1" fillId="0" borderId="10" xfId="0" applyNumberFormat="1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4" fontId="0" fillId="0" borderId="2" xfId="0" applyNumberFormat="1" applyBorder="1" applyAlignment="1">
      <alignment horizontal="right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8" xfId="0" applyFon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0" fillId="0" borderId="7" xfId="0" applyNumberFormat="1" applyBorder="1" applyAlignment="1">
      <alignment horizontal="right"/>
    </xf>
    <xf numFmtId="2" fontId="0" fillId="0" borderId="2" xfId="0" applyNumberFormat="1" applyBorder="1"/>
    <xf numFmtId="2" fontId="0" fillId="0" borderId="7" xfId="0" applyNumberFormat="1" applyBorder="1"/>
    <xf numFmtId="165" fontId="1" fillId="0" borderId="5" xfId="0" applyNumberFormat="1" applyFont="1" applyBorder="1" applyAlignment="1">
      <alignment horizontal="center"/>
    </xf>
  </cellXfs>
  <cellStyles count="1">
    <cellStyle name="Normal" xfId="0" builtinId="0"/>
  </cellStyles>
  <dxfs count="89"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ableau1" displayName="Tableau1" ref="A1:M13" totalsRowShown="0" headerRowDxfId="88" headerRowBorderDxfId="87" tableBorderDxfId="86" totalsRowBorderDxfId="85">
  <autoFilter ref="A1:M13" xr:uid="{00000000-0009-0000-0100-000005000000}"/>
  <tableColumns count="13">
    <tableColumn id="1" xr3:uid="{00000000-0010-0000-0000-000001000000}" name="Instance" dataDxfId="84"/>
    <tableColumn id="2" xr3:uid="{00000000-0010-0000-0000-000002000000}" name="time_1" dataDxfId="83"/>
    <tableColumn id="3" xr3:uid="{00000000-0010-0000-0000-000003000000}" name="time_2" dataDxfId="82"/>
    <tableColumn id="4" xr3:uid="{00000000-0010-0000-0000-000004000000}" name="time_3" dataDxfId="81"/>
    <tableColumn id="5" xr3:uid="{00000000-0010-0000-0000-000005000000}" name="time_4" dataDxfId="80"/>
    <tableColumn id="6" xr3:uid="{00000000-0010-0000-0000-000006000000}" name="time_5" dataDxfId="79"/>
    <tableColumn id="7" xr3:uid="{00000000-0010-0000-0000-000007000000}" name="time_6" dataDxfId="78"/>
    <tableColumn id="8" xr3:uid="{00000000-0010-0000-0000-000008000000}" name="time_7" dataDxfId="77"/>
    <tableColumn id="9" xr3:uid="{00000000-0010-0000-0000-000009000000}" name="time_8" dataDxfId="76"/>
    <tableColumn id="10" xr3:uid="{00000000-0010-0000-0000-00000A000000}" name="time_9" dataDxfId="75"/>
    <tableColumn id="11" xr3:uid="{00000000-0010-0000-0000-00000B000000}" name="time_10" dataDxfId="74"/>
    <tableColumn id="12" xr3:uid="{00000000-0010-0000-0000-00000C000000}" name="cost" dataDxfId="73"/>
    <tableColumn id="13" xr3:uid="{00000000-0010-0000-0000-00000D000000}" name="gap" dataDxfId="7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au2" displayName="Tableau2" ref="A1:U13" totalsRowShown="0">
  <autoFilter ref="A1:U13" xr:uid="{00000000-0009-0000-0100-000004000000}"/>
  <tableColumns count="21">
    <tableColumn id="1" xr3:uid="{00000000-0010-0000-0100-000001000000}" name="Instance" dataDxfId="71"/>
    <tableColumn id="2" xr3:uid="{00000000-0010-0000-0100-000002000000}" name="time_1" dataDxfId="19"/>
    <tableColumn id="3" xr3:uid="{00000000-0010-0000-0100-000003000000}" name="time_2" dataDxfId="18"/>
    <tableColumn id="4" xr3:uid="{00000000-0010-0000-0100-000004000000}" name="time_3" dataDxfId="17"/>
    <tableColumn id="5" xr3:uid="{00000000-0010-0000-0100-000005000000}" name="time_4" dataDxfId="16"/>
    <tableColumn id="6" xr3:uid="{00000000-0010-0000-0100-000006000000}" name="time_5" dataDxfId="15"/>
    <tableColumn id="7" xr3:uid="{00000000-0010-0000-0100-000007000000}" name="time_6" dataDxfId="14"/>
    <tableColumn id="8" xr3:uid="{00000000-0010-0000-0100-000008000000}" name="time_7" dataDxfId="13"/>
    <tableColumn id="9" xr3:uid="{00000000-0010-0000-0100-000009000000}" name="time_8" dataDxfId="12"/>
    <tableColumn id="10" xr3:uid="{00000000-0010-0000-0100-00000A000000}" name="time_9" dataDxfId="11"/>
    <tableColumn id="11" xr3:uid="{00000000-0010-0000-0100-00000B000000}" name="time_10" dataDxfId="10"/>
    <tableColumn id="12" xr3:uid="{00000000-0010-0000-0100-00000C000000}" name="cost_1" dataDxfId="9"/>
    <tableColumn id="13" xr3:uid="{00000000-0010-0000-0100-00000D000000}" name="cost_2" dataDxfId="8"/>
    <tableColumn id="14" xr3:uid="{00000000-0010-0000-0100-00000E000000}" name="cost_3" dataDxfId="7"/>
    <tableColumn id="15" xr3:uid="{00000000-0010-0000-0100-00000F000000}" name="cost_4" dataDxfId="6"/>
    <tableColumn id="16" xr3:uid="{00000000-0010-0000-0100-000010000000}" name="cost_5" dataDxfId="5"/>
    <tableColumn id="17" xr3:uid="{00000000-0010-0000-0100-000011000000}" name="cost_6" dataDxfId="4"/>
    <tableColumn id="18" xr3:uid="{00000000-0010-0000-0100-000012000000}" name="cost_7" dataDxfId="3"/>
    <tableColumn id="19" xr3:uid="{00000000-0010-0000-0100-000013000000}" name="cost_8" dataDxfId="2"/>
    <tableColumn id="20" xr3:uid="{00000000-0010-0000-0100-000014000000}" name="cost_9" dataDxfId="1"/>
    <tableColumn id="21" xr3:uid="{00000000-0010-0000-0100-000015000000}" name="cost_10" dataDxfId="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au25" displayName="Tableau25" ref="A1:U13" totalsRowShown="0" headerRowDxfId="70" dataDxfId="68" headerRowBorderDxfId="69" tableBorderDxfId="67" totalsRowBorderDxfId="66">
  <autoFilter ref="A1:U13" xr:uid="{00000000-0009-0000-0100-000002000000}"/>
  <tableColumns count="21">
    <tableColumn id="1" xr3:uid="{00000000-0010-0000-0300-000001000000}" name="Instance" dataDxfId="65">
      <calculatedColumnFormula>gurobi!A2</calculatedColumnFormula>
    </tableColumn>
    <tableColumn id="2" xr3:uid="{00000000-0010-0000-0300-000002000000}" name="time_1" dataDxfId="64"/>
    <tableColumn id="3" xr3:uid="{00000000-0010-0000-0300-000003000000}" name="time_2" dataDxfId="63"/>
    <tableColumn id="4" xr3:uid="{00000000-0010-0000-0300-000004000000}" name="time_3" dataDxfId="62"/>
    <tableColumn id="5" xr3:uid="{00000000-0010-0000-0300-000005000000}" name="time_4" dataDxfId="61"/>
    <tableColumn id="6" xr3:uid="{00000000-0010-0000-0300-000006000000}" name="time_5" dataDxfId="60"/>
    <tableColumn id="7" xr3:uid="{00000000-0010-0000-0300-000007000000}" name="time_6" dataDxfId="59"/>
    <tableColumn id="8" xr3:uid="{00000000-0010-0000-0300-000008000000}" name="time_7" dataDxfId="58"/>
    <tableColumn id="9" xr3:uid="{00000000-0010-0000-0300-000009000000}" name="time_8" dataDxfId="57"/>
    <tableColumn id="10" xr3:uid="{00000000-0010-0000-0300-00000A000000}" name="time_9" dataDxfId="56"/>
    <tableColumn id="11" xr3:uid="{00000000-0010-0000-0300-00000B000000}" name="time_10" dataDxfId="55"/>
    <tableColumn id="12" xr3:uid="{00000000-0010-0000-0300-00000C000000}" name="cost_1" dataDxfId="54"/>
    <tableColumn id="13" xr3:uid="{00000000-0010-0000-0300-00000D000000}" name="cost_2" dataDxfId="53"/>
    <tableColumn id="14" xr3:uid="{00000000-0010-0000-0300-00000E000000}" name="cost_3" dataDxfId="52"/>
    <tableColumn id="15" xr3:uid="{00000000-0010-0000-0300-00000F000000}" name="cost_4" dataDxfId="51"/>
    <tableColumn id="16" xr3:uid="{00000000-0010-0000-0300-000010000000}" name="cost_5" dataDxfId="50"/>
    <tableColumn id="17" xr3:uid="{00000000-0010-0000-0300-000011000000}" name="cost_6" dataDxfId="49"/>
    <tableColumn id="18" xr3:uid="{00000000-0010-0000-0300-000012000000}" name="cost_7" dataDxfId="48"/>
    <tableColumn id="19" xr3:uid="{00000000-0010-0000-0300-000013000000}" name="cost_8" dataDxfId="47"/>
    <tableColumn id="20" xr3:uid="{00000000-0010-0000-0300-000014000000}" name="cost_9" dataDxfId="46"/>
    <tableColumn id="21" xr3:uid="{00000000-0010-0000-0300-000015000000}" name="cost_10" dataDxfId="45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au24" displayName="Tableau24" ref="A1:U13" totalsRowShown="0" headerRowDxfId="44" headerRowBorderDxfId="43" tableBorderDxfId="42" totalsRowBorderDxfId="41">
  <autoFilter ref="A1:U13" xr:uid="{00000000-0009-0000-0100-000003000000}"/>
  <tableColumns count="21">
    <tableColumn id="1" xr3:uid="{00000000-0010-0000-0200-000001000000}" name="Instance" dataDxfId="40"/>
    <tableColumn id="2" xr3:uid="{00000000-0010-0000-0200-000002000000}" name="time_1" dataDxfId="39"/>
    <tableColumn id="3" xr3:uid="{00000000-0010-0000-0200-000003000000}" name="time_2" dataDxfId="38"/>
    <tableColumn id="4" xr3:uid="{00000000-0010-0000-0200-000004000000}" name="time_3" dataDxfId="37"/>
    <tableColumn id="5" xr3:uid="{00000000-0010-0000-0200-000005000000}" name="time_4" dataDxfId="36"/>
    <tableColumn id="6" xr3:uid="{00000000-0010-0000-0200-000006000000}" name="time_5" dataDxfId="35"/>
    <tableColumn id="7" xr3:uid="{00000000-0010-0000-0200-000007000000}" name="time_6" dataDxfId="34"/>
    <tableColumn id="8" xr3:uid="{00000000-0010-0000-0200-000008000000}" name="time_7" dataDxfId="33"/>
    <tableColumn id="9" xr3:uid="{00000000-0010-0000-0200-000009000000}" name="time_8" dataDxfId="32"/>
    <tableColumn id="10" xr3:uid="{00000000-0010-0000-0200-00000A000000}" name="time_9" dataDxfId="31"/>
    <tableColumn id="11" xr3:uid="{00000000-0010-0000-0200-00000B000000}" name="time_10" dataDxfId="30"/>
    <tableColumn id="12" xr3:uid="{00000000-0010-0000-0200-00000C000000}" name="cost_1" dataDxfId="29"/>
    <tableColumn id="13" xr3:uid="{00000000-0010-0000-0200-00000D000000}" name="cost_2" dataDxfId="28"/>
    <tableColumn id="14" xr3:uid="{00000000-0010-0000-0200-00000E000000}" name="cost_3" dataDxfId="27"/>
    <tableColumn id="15" xr3:uid="{00000000-0010-0000-0200-00000F000000}" name="cost_4" dataDxfId="26"/>
    <tableColumn id="16" xr3:uid="{00000000-0010-0000-0200-000010000000}" name="cost_5" dataDxfId="25"/>
    <tableColumn id="17" xr3:uid="{00000000-0010-0000-0200-000011000000}" name="cost_6" dataDxfId="24"/>
    <tableColumn id="18" xr3:uid="{00000000-0010-0000-0200-000012000000}" name="cost_7" dataDxfId="23"/>
    <tableColumn id="19" xr3:uid="{00000000-0010-0000-0200-000013000000}" name="cost_8" dataDxfId="22"/>
    <tableColumn id="20" xr3:uid="{00000000-0010-0000-0200-000014000000}" name="cost_9" dataDxfId="21"/>
    <tableColumn id="21" xr3:uid="{00000000-0010-0000-0200-000015000000}" name="cost_10" dataDxfId="2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13"/>
  <sheetViews>
    <sheetView zoomScale="110" zoomScaleNormal="110" workbookViewId="0">
      <selection sqref="A1:XFD1"/>
    </sheetView>
  </sheetViews>
  <sheetFormatPr defaultColWidth="9.109375" defaultRowHeight="14.4" x14ac:dyDescent="0.3"/>
  <cols>
    <col min="1" max="1" width="15.33203125" style="1" bestFit="1" customWidth="1"/>
    <col min="2" max="10" width="13.5546875" style="2" bestFit="1" customWidth="1"/>
    <col min="11" max="11" width="12.33203125" style="2" bestFit="1" customWidth="1"/>
    <col min="12" max="12" width="12.88671875" style="2" bestFit="1" customWidth="1"/>
    <col min="13" max="13" width="13.5546875" style="9" bestFit="1" customWidth="1"/>
    <col min="14" max="14" width="13.5546875" bestFit="1" customWidth="1"/>
    <col min="15" max="15" width="17.6640625" bestFit="1" customWidth="1"/>
    <col min="16" max="23" width="13.5546875" bestFit="1" customWidth="1"/>
  </cols>
  <sheetData>
    <row r="1" spans="1:23" s="1" customFormat="1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22</v>
      </c>
      <c r="M1" s="30" t="s">
        <v>23</v>
      </c>
    </row>
    <row r="2" spans="1:23" x14ac:dyDescent="0.3">
      <c r="A2" s="12" t="s">
        <v>24</v>
      </c>
      <c r="B2" s="13">
        <v>0</v>
      </c>
      <c r="C2" s="13">
        <v>0.02</v>
      </c>
      <c r="D2" s="13">
        <v>0</v>
      </c>
      <c r="E2" s="13">
        <v>0</v>
      </c>
      <c r="F2" s="13">
        <v>0.02</v>
      </c>
      <c r="G2" s="13">
        <v>0</v>
      </c>
      <c r="H2" s="13">
        <v>0.02</v>
      </c>
      <c r="I2" s="13">
        <v>0</v>
      </c>
      <c r="J2" s="13">
        <v>0</v>
      </c>
      <c r="K2" s="13">
        <v>0</v>
      </c>
      <c r="L2" s="13">
        <v>28554.02</v>
      </c>
      <c r="M2" s="14">
        <v>0</v>
      </c>
    </row>
    <row r="3" spans="1:23" x14ac:dyDescent="0.3">
      <c r="A3" s="12" t="s">
        <v>21</v>
      </c>
      <c r="B3" s="13">
        <v>0.03</v>
      </c>
      <c r="C3" s="13">
        <v>0.02</v>
      </c>
      <c r="D3" s="13">
        <v>0.02</v>
      </c>
      <c r="E3" s="13">
        <v>0.05</v>
      </c>
      <c r="F3" s="13">
        <v>0.02</v>
      </c>
      <c r="G3" s="13">
        <v>0.02</v>
      </c>
      <c r="H3" s="13">
        <v>0.02</v>
      </c>
      <c r="I3" s="13">
        <v>0.02</v>
      </c>
      <c r="J3" s="13">
        <v>0.06</v>
      </c>
      <c r="K3" s="13">
        <v>0.06</v>
      </c>
      <c r="L3" s="13">
        <v>61402.879999999997</v>
      </c>
      <c r="M3" s="14">
        <v>6.7000000000000002E-5</v>
      </c>
    </row>
    <row r="4" spans="1:23" x14ac:dyDescent="0.3">
      <c r="A4" s="12" t="s">
        <v>25</v>
      </c>
      <c r="B4" s="13">
        <v>0.33</v>
      </c>
      <c r="C4" s="13">
        <v>0.3</v>
      </c>
      <c r="D4" s="13">
        <v>0.33</v>
      </c>
      <c r="E4" s="13">
        <v>0.33</v>
      </c>
      <c r="F4" s="13">
        <v>0.39</v>
      </c>
      <c r="G4" s="13">
        <v>0.33</v>
      </c>
      <c r="H4" s="13">
        <v>0.3</v>
      </c>
      <c r="I4" s="13">
        <v>0.28000000000000003</v>
      </c>
      <c r="J4" s="13">
        <v>0.3</v>
      </c>
      <c r="K4" s="13">
        <v>0.48</v>
      </c>
      <c r="L4" s="13">
        <v>192817.2</v>
      </c>
      <c r="M4" s="14">
        <v>9.8999999999999994E-5</v>
      </c>
      <c r="W4" s="6"/>
    </row>
    <row r="5" spans="1:23" x14ac:dyDescent="0.3">
      <c r="A5" s="12" t="s">
        <v>153</v>
      </c>
      <c r="B5" s="13">
        <v>3.03</v>
      </c>
      <c r="C5" s="13">
        <v>2.86</v>
      </c>
      <c r="D5" s="13">
        <v>2.84</v>
      </c>
      <c r="E5" s="13">
        <v>2.89</v>
      </c>
      <c r="F5" s="13">
        <v>2.72</v>
      </c>
      <c r="G5" s="13">
        <v>2.8</v>
      </c>
      <c r="H5" s="13">
        <v>2.83</v>
      </c>
      <c r="I5" s="13">
        <v>3.06</v>
      </c>
      <c r="J5" s="13">
        <v>2.67</v>
      </c>
      <c r="K5" s="13">
        <v>2.92</v>
      </c>
      <c r="L5" s="13">
        <v>290932.3</v>
      </c>
      <c r="M5" s="14">
        <v>4.8000000000000001E-5</v>
      </c>
    </row>
    <row r="6" spans="1:23" x14ac:dyDescent="0.3">
      <c r="A6" s="12" t="s">
        <v>154</v>
      </c>
      <c r="B6" s="13">
        <v>116.16</v>
      </c>
      <c r="C6" s="13">
        <v>128.44999999999999</v>
      </c>
      <c r="D6" s="13">
        <v>123.7</v>
      </c>
      <c r="E6" s="13">
        <v>128.66</v>
      </c>
      <c r="F6" s="13">
        <v>129.91</v>
      </c>
      <c r="G6" s="13">
        <v>128.55000000000001</v>
      </c>
      <c r="H6" s="13">
        <v>133.06</v>
      </c>
      <c r="I6" s="13">
        <v>133.52000000000001</v>
      </c>
      <c r="J6" s="13">
        <v>133.09</v>
      </c>
      <c r="K6" s="13">
        <v>128.16999999999999</v>
      </c>
      <c r="L6" s="13">
        <v>710215.25</v>
      </c>
      <c r="M6" s="14">
        <v>0</v>
      </c>
    </row>
    <row r="7" spans="1:23" x14ac:dyDescent="0.3">
      <c r="A7" s="12" t="s">
        <v>26</v>
      </c>
      <c r="B7" s="13">
        <v>646.80999999999995</v>
      </c>
      <c r="C7" s="13">
        <v>678.86</v>
      </c>
      <c r="D7" s="13">
        <v>748.56</v>
      </c>
      <c r="E7" s="13">
        <v>710.08</v>
      </c>
      <c r="F7" s="13">
        <v>977.73</v>
      </c>
      <c r="G7" s="13">
        <v>1025.17</v>
      </c>
      <c r="H7" s="13">
        <v>774.86</v>
      </c>
      <c r="I7" s="13">
        <v>1030.7</v>
      </c>
      <c r="J7" s="13">
        <v>1053.55</v>
      </c>
      <c r="K7" s="13">
        <v>513.23</v>
      </c>
      <c r="L7" s="13">
        <v>1374194.39</v>
      </c>
      <c r="M7" s="14">
        <v>1E-3</v>
      </c>
    </row>
    <row r="8" spans="1:23" x14ac:dyDescent="0.3">
      <c r="A8" s="12" t="s">
        <v>27</v>
      </c>
      <c r="B8" s="13">
        <v>1672.39</v>
      </c>
      <c r="C8" s="13">
        <v>1033.0899999999999</v>
      </c>
      <c r="D8" s="13">
        <v>985.86</v>
      </c>
      <c r="E8" s="13">
        <v>1017.84</v>
      </c>
      <c r="F8" s="13">
        <v>1043.8900000000001</v>
      </c>
      <c r="G8" s="13">
        <v>839.36</v>
      </c>
      <c r="H8" s="13">
        <v>1958.77</v>
      </c>
      <c r="I8" s="13">
        <v>732.67</v>
      </c>
      <c r="J8" s="13">
        <v>745.95</v>
      </c>
      <c r="K8" s="13">
        <v>782.64</v>
      </c>
      <c r="L8" s="13">
        <v>1907714.3</v>
      </c>
      <c r="M8" s="14">
        <v>1.6000000000000001E-3</v>
      </c>
      <c r="P8" s="8"/>
    </row>
    <row r="9" spans="1:23" x14ac:dyDescent="0.3">
      <c r="A9" s="12" t="s">
        <v>28</v>
      </c>
      <c r="B9" s="13">
        <v>3980.02</v>
      </c>
      <c r="C9" s="13">
        <v>1913.55</v>
      </c>
      <c r="D9" s="13">
        <v>2101.44</v>
      </c>
      <c r="E9" s="13">
        <v>3344.53</v>
      </c>
      <c r="F9" s="13">
        <v>2159.2199999999998</v>
      </c>
      <c r="G9" s="13">
        <v>4236.3599999999997</v>
      </c>
      <c r="H9" s="13">
        <v>2052.48</v>
      </c>
      <c r="I9" s="13">
        <v>2674.78</v>
      </c>
      <c r="J9" s="13">
        <v>2802.53</v>
      </c>
      <c r="K9" s="13">
        <v>1964.47</v>
      </c>
      <c r="L9" s="13">
        <v>2230454.0699999998</v>
      </c>
      <c r="M9" s="14">
        <v>6.0000000000000001E-3</v>
      </c>
      <c r="P9" s="8"/>
    </row>
    <row r="10" spans="1:23" x14ac:dyDescent="0.3">
      <c r="A10" s="15" t="s">
        <v>112</v>
      </c>
      <c r="B10" s="13">
        <v>6979.64</v>
      </c>
      <c r="C10" s="13">
        <v>8071.2</v>
      </c>
      <c r="D10" s="13">
        <v>10467.879999999999</v>
      </c>
      <c r="E10" s="13">
        <v>8208.31</v>
      </c>
      <c r="F10" s="13">
        <v>5195.03</v>
      </c>
      <c r="G10" s="13">
        <v>7207.39</v>
      </c>
      <c r="H10" s="13">
        <v>6371.33</v>
      </c>
      <c r="I10" s="13">
        <v>4532.47</v>
      </c>
      <c r="J10" s="13">
        <v>5503.8</v>
      </c>
      <c r="K10" s="13">
        <v>4557.2</v>
      </c>
      <c r="L10" s="13">
        <v>3526470.86</v>
      </c>
      <c r="M10" s="14">
        <v>8.1000000000000004E-5</v>
      </c>
      <c r="P10" s="8"/>
    </row>
    <row r="11" spans="1:23" x14ac:dyDescent="0.3">
      <c r="A11" s="15" t="s">
        <v>29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6"/>
    </row>
    <row r="12" spans="1:23" x14ac:dyDescent="0.3">
      <c r="A12" s="15" t="s">
        <v>30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7"/>
    </row>
    <row r="13" spans="1:23" x14ac:dyDescent="0.3">
      <c r="A13" s="18" t="s">
        <v>31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13"/>
  <sheetViews>
    <sheetView topLeftCell="L1" zoomScale="110" zoomScaleNormal="110" workbookViewId="0">
      <selection activeCell="V13" sqref="V13"/>
    </sheetView>
  </sheetViews>
  <sheetFormatPr defaultColWidth="9.109375" defaultRowHeight="14.4" x14ac:dyDescent="0.3"/>
  <cols>
    <col min="1" max="1" width="15.33203125" style="1" bestFit="1" customWidth="1"/>
    <col min="2" max="12" width="13.5546875" style="2" bestFit="1" customWidth="1"/>
    <col min="13" max="21" width="13.5546875" style="4" bestFit="1" customWidth="1"/>
  </cols>
  <sheetData>
    <row r="1" spans="1:21" x14ac:dyDescent="0.3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 spans="1:21" x14ac:dyDescent="0.3">
      <c r="A2" s="21" t="str">
        <f>gurobi!A2</f>
        <v>(2, 2, 4, 1)</v>
      </c>
      <c r="B2" s="22">
        <v>0.02</v>
      </c>
      <c r="C2" s="22">
        <v>0.02</v>
      </c>
      <c r="D2" s="22">
        <v>0.02</v>
      </c>
      <c r="E2" s="22">
        <v>0.02</v>
      </c>
      <c r="F2" s="22">
        <v>0</v>
      </c>
      <c r="G2" s="22">
        <v>0</v>
      </c>
      <c r="H2" s="22">
        <v>0.02</v>
      </c>
      <c r="I2" s="22">
        <v>0.02</v>
      </c>
      <c r="J2" s="22">
        <v>0</v>
      </c>
      <c r="K2" s="22">
        <v>0.02</v>
      </c>
      <c r="L2" s="22">
        <v>28554.02</v>
      </c>
      <c r="M2" s="22">
        <v>28554.02</v>
      </c>
      <c r="N2" s="22">
        <v>28554.02</v>
      </c>
      <c r="O2" s="22">
        <v>28554.02</v>
      </c>
      <c r="P2" s="22">
        <v>28554.02</v>
      </c>
      <c r="Q2" s="22">
        <v>28554.02</v>
      </c>
      <c r="R2" s="22">
        <v>28554.02</v>
      </c>
      <c r="S2" s="22">
        <v>28554.02</v>
      </c>
      <c r="T2" s="22">
        <v>28554.02</v>
      </c>
      <c r="U2" s="22">
        <v>28554.02</v>
      </c>
    </row>
    <row r="3" spans="1:21" x14ac:dyDescent="0.3">
      <c r="A3" s="21" t="str">
        <f>gurobi!A3</f>
        <v>(5, 4, 10, 1)</v>
      </c>
      <c r="B3" s="22">
        <v>0.06</v>
      </c>
      <c r="C3" s="22">
        <v>0.05</v>
      </c>
      <c r="D3" s="22">
        <v>0.05</v>
      </c>
      <c r="E3" s="22">
        <v>0.06</v>
      </c>
      <c r="F3" s="22">
        <v>0.03</v>
      </c>
      <c r="G3" s="22">
        <v>0.05</v>
      </c>
      <c r="H3" s="22">
        <v>0.05</v>
      </c>
      <c r="I3" s="22">
        <v>0.05</v>
      </c>
      <c r="J3" s="22">
        <v>0.02</v>
      </c>
      <c r="K3" s="22">
        <v>0.05</v>
      </c>
      <c r="L3" s="22">
        <v>61403.82</v>
      </c>
      <c r="M3" s="22">
        <v>61405.36</v>
      </c>
      <c r="N3" s="22">
        <v>61403.82</v>
      </c>
      <c r="O3" s="22">
        <v>61403.75</v>
      </c>
      <c r="P3" s="22">
        <v>61405.36</v>
      </c>
      <c r="Q3" s="22">
        <v>61403.75</v>
      </c>
      <c r="R3" s="22">
        <v>61405.36</v>
      </c>
      <c r="S3" s="22">
        <v>61405.36</v>
      </c>
      <c r="T3" s="22">
        <v>61403.82</v>
      </c>
      <c r="U3" s="22">
        <v>61405.42</v>
      </c>
    </row>
    <row r="4" spans="1:21" x14ac:dyDescent="0.3">
      <c r="A4" s="21" t="str">
        <f>gurobi!A4</f>
        <v>(10, 8, 20, 2)</v>
      </c>
      <c r="B4" s="22">
        <v>0.25</v>
      </c>
      <c r="C4" s="22">
        <v>0.23</v>
      </c>
      <c r="D4" s="22">
        <v>0.23</v>
      </c>
      <c r="E4" s="22">
        <v>0.25</v>
      </c>
      <c r="F4" s="22">
        <v>0.25</v>
      </c>
      <c r="G4" s="22">
        <v>0.25</v>
      </c>
      <c r="H4" s="22">
        <v>0.25</v>
      </c>
      <c r="I4" s="22">
        <v>0.23</v>
      </c>
      <c r="J4" s="22">
        <v>0.23</v>
      </c>
      <c r="K4" s="22">
        <v>0.23</v>
      </c>
      <c r="L4" s="22">
        <v>192842.51</v>
      </c>
      <c r="M4" s="22">
        <v>192863.29</v>
      </c>
      <c r="N4" s="22">
        <v>192856.15</v>
      </c>
      <c r="O4" s="22">
        <v>192873.7</v>
      </c>
      <c r="P4" s="22">
        <v>192846.42</v>
      </c>
      <c r="Q4" s="22">
        <v>192862.96</v>
      </c>
      <c r="R4" s="22">
        <v>192859.38</v>
      </c>
      <c r="S4" s="22">
        <v>192871.67</v>
      </c>
      <c r="T4" s="22">
        <v>192857.02</v>
      </c>
      <c r="U4" s="22">
        <v>192843.64</v>
      </c>
    </row>
    <row r="5" spans="1:21" x14ac:dyDescent="0.3">
      <c r="A5" s="21" t="str">
        <f>gurobi!A5</f>
        <v>(20, 20, 30, 2)</v>
      </c>
      <c r="B5" s="22">
        <v>1.39</v>
      </c>
      <c r="C5" s="22">
        <v>1.28</v>
      </c>
      <c r="D5" s="22">
        <v>1.33</v>
      </c>
      <c r="E5" s="22">
        <v>1.36</v>
      </c>
      <c r="F5" s="22">
        <v>1.38</v>
      </c>
      <c r="G5" s="22">
        <v>2.33</v>
      </c>
      <c r="H5" s="22">
        <v>2.8</v>
      </c>
      <c r="I5" s="22">
        <v>4.41</v>
      </c>
      <c r="J5" s="22">
        <v>4.45</v>
      </c>
      <c r="K5" s="22">
        <v>1.3</v>
      </c>
      <c r="L5" s="22">
        <v>291071.32</v>
      </c>
      <c r="M5" s="22">
        <v>291120.05</v>
      </c>
      <c r="N5" s="22">
        <v>291012.58</v>
      </c>
      <c r="O5" s="22">
        <v>291648.96000000002</v>
      </c>
      <c r="P5" s="22">
        <v>290984.21000000002</v>
      </c>
      <c r="Q5" s="22">
        <v>292019.84999999998</v>
      </c>
      <c r="R5" s="22">
        <v>291152.18</v>
      </c>
      <c r="S5" s="22">
        <v>291170.7</v>
      </c>
      <c r="T5" s="22">
        <v>291888.71000000002</v>
      </c>
      <c r="U5" s="22">
        <v>291174.40999999997</v>
      </c>
    </row>
    <row r="6" spans="1:21" x14ac:dyDescent="0.3">
      <c r="A6" s="21" t="str">
        <f>gurobi!A6</f>
        <v>(50, 80, 70, 3)</v>
      </c>
      <c r="B6" s="22">
        <v>26.2</v>
      </c>
      <c r="C6" s="22">
        <v>23.84</v>
      </c>
      <c r="D6" s="22">
        <v>24.14</v>
      </c>
      <c r="E6" s="22">
        <v>23.59</v>
      </c>
      <c r="F6" s="22">
        <v>23.22</v>
      </c>
      <c r="G6" s="22">
        <v>24.38</v>
      </c>
      <c r="H6" s="22">
        <v>25.05</v>
      </c>
      <c r="I6" s="22">
        <v>22.03</v>
      </c>
      <c r="J6" s="22">
        <v>24.17</v>
      </c>
      <c r="K6" s="22">
        <v>24.78</v>
      </c>
      <c r="L6" s="22">
        <v>713618.18</v>
      </c>
      <c r="M6" s="22">
        <v>713529.77</v>
      </c>
      <c r="N6" s="22">
        <v>715011.18</v>
      </c>
      <c r="O6" s="22">
        <v>713097.83</v>
      </c>
      <c r="P6" s="22">
        <v>715080.19</v>
      </c>
      <c r="Q6" s="22">
        <v>712744.02</v>
      </c>
      <c r="R6" s="22">
        <v>710722.04</v>
      </c>
      <c r="S6" s="22">
        <v>712948.75</v>
      </c>
      <c r="T6" s="22">
        <v>719742.26</v>
      </c>
      <c r="U6" s="22">
        <v>712748.88</v>
      </c>
    </row>
    <row r="7" spans="1:21" x14ac:dyDescent="0.3">
      <c r="A7" s="21" t="str">
        <f>gurobi!A7</f>
        <v>(70, 120, 100, 3)</v>
      </c>
      <c r="B7" s="22">
        <v>66.06</v>
      </c>
      <c r="C7" s="22">
        <v>64.16</v>
      </c>
      <c r="D7" s="22">
        <v>61.56</v>
      </c>
      <c r="E7" s="22">
        <v>62.5</v>
      </c>
      <c r="F7" s="22">
        <v>67.33</v>
      </c>
      <c r="G7" s="22">
        <v>107.95</v>
      </c>
      <c r="H7" s="22">
        <v>151.34</v>
      </c>
      <c r="I7" s="22">
        <v>73.53</v>
      </c>
      <c r="J7" s="22">
        <v>96.17</v>
      </c>
      <c r="K7" s="22">
        <v>70.47</v>
      </c>
      <c r="L7" s="22">
        <v>1391373.85</v>
      </c>
      <c r="M7" s="22">
        <v>1379062.81</v>
      </c>
      <c r="N7" s="22">
        <v>1391912.52</v>
      </c>
      <c r="O7" s="22">
        <v>1377636.13</v>
      </c>
      <c r="P7" s="22">
        <v>1385332.03</v>
      </c>
      <c r="Q7" s="22">
        <v>1382182.17</v>
      </c>
      <c r="R7" s="22">
        <v>1383508.53</v>
      </c>
      <c r="S7" s="22">
        <v>1396277.3</v>
      </c>
      <c r="T7" s="22">
        <v>1385686.53</v>
      </c>
      <c r="U7" s="22">
        <v>1382200.2</v>
      </c>
    </row>
    <row r="8" spans="1:21" x14ac:dyDescent="0.3">
      <c r="A8" s="21" t="str">
        <f>gurobi!A8</f>
        <v>(100, 120, 100, 4)</v>
      </c>
      <c r="B8" s="22">
        <v>147.28</v>
      </c>
      <c r="C8" s="22">
        <v>157.41999999999999</v>
      </c>
      <c r="D8" s="22">
        <v>321.11</v>
      </c>
      <c r="E8" s="22">
        <v>185.5</v>
      </c>
      <c r="F8" s="22">
        <v>209.78</v>
      </c>
      <c r="G8" s="22">
        <v>91.12</v>
      </c>
      <c r="H8" s="22">
        <v>102.78</v>
      </c>
      <c r="I8" s="22">
        <v>87.98</v>
      </c>
      <c r="J8" s="22">
        <v>97.47</v>
      </c>
      <c r="K8" s="22">
        <v>96.3</v>
      </c>
      <c r="L8" s="22">
        <v>1930534.2</v>
      </c>
      <c r="M8" s="22">
        <v>1924079.4</v>
      </c>
      <c r="N8" s="22">
        <v>1938449.08</v>
      </c>
      <c r="O8" s="22">
        <v>1920198.12</v>
      </c>
      <c r="P8" s="22">
        <v>1931357.36</v>
      </c>
      <c r="Q8" s="22">
        <v>1940309.87</v>
      </c>
      <c r="R8" s="22">
        <v>1922098.53</v>
      </c>
      <c r="S8" s="22">
        <v>1936385.15</v>
      </c>
      <c r="T8" s="22">
        <v>1933345.24</v>
      </c>
      <c r="U8" s="22">
        <v>1916915.82</v>
      </c>
    </row>
    <row r="9" spans="1:21" x14ac:dyDescent="0.3">
      <c r="A9" s="21" t="str">
        <f>gurobi!A9</f>
        <v>(150, 120, 130, 4)</v>
      </c>
      <c r="B9" s="22">
        <v>159.25</v>
      </c>
      <c r="C9" s="22">
        <v>170.81</v>
      </c>
      <c r="D9" s="22">
        <v>172.03</v>
      </c>
      <c r="E9" s="22">
        <v>157.41999999999999</v>
      </c>
      <c r="F9" s="22">
        <v>173.16</v>
      </c>
      <c r="G9" s="22">
        <v>177.88</v>
      </c>
      <c r="H9" s="22">
        <v>163.41</v>
      </c>
      <c r="I9" s="22">
        <v>175.88</v>
      </c>
      <c r="J9" s="22">
        <v>172.84</v>
      </c>
      <c r="K9" s="22">
        <v>168.62</v>
      </c>
      <c r="L9" s="22">
        <v>2239123.6</v>
      </c>
      <c r="M9" s="22">
        <v>2239103.19</v>
      </c>
      <c r="N9" s="22">
        <v>2238557.35</v>
      </c>
      <c r="O9" s="22">
        <v>2244165.2999999998</v>
      </c>
      <c r="P9" s="22">
        <v>2234039.69</v>
      </c>
      <c r="Q9" s="22">
        <v>2238454.75</v>
      </c>
      <c r="R9" s="22">
        <v>2241764.88</v>
      </c>
      <c r="S9" s="22">
        <v>2237247.09</v>
      </c>
      <c r="T9" s="22">
        <v>2245534.5099999998</v>
      </c>
      <c r="U9" s="22">
        <v>2240536.41</v>
      </c>
    </row>
    <row r="10" spans="1:21" x14ac:dyDescent="0.3">
      <c r="A10" s="21" t="str">
        <f>gurobi!A10</f>
        <v>(200, 130, 150, 5)</v>
      </c>
      <c r="B10" s="22">
        <v>347.72</v>
      </c>
      <c r="C10" s="22">
        <v>344.75</v>
      </c>
      <c r="D10" s="22">
        <v>360.97</v>
      </c>
      <c r="E10" s="22">
        <v>369.77</v>
      </c>
      <c r="F10" s="22">
        <v>334.67</v>
      </c>
      <c r="G10" s="22">
        <v>356.69</v>
      </c>
      <c r="H10" s="22">
        <v>339.31</v>
      </c>
      <c r="I10" s="22">
        <v>339.95</v>
      </c>
      <c r="J10" s="22">
        <v>379.64</v>
      </c>
      <c r="K10" s="22">
        <v>341.94</v>
      </c>
      <c r="L10" s="22">
        <v>3560503.03</v>
      </c>
      <c r="M10" s="22">
        <v>3550802.09</v>
      </c>
      <c r="N10" s="22">
        <v>3558668.19</v>
      </c>
      <c r="O10" s="22">
        <v>3553207.48</v>
      </c>
      <c r="P10" s="22">
        <v>3573568.13</v>
      </c>
      <c r="Q10" s="22">
        <v>3564513.48</v>
      </c>
      <c r="R10" s="22">
        <v>3554218.58</v>
      </c>
      <c r="S10" s="22">
        <v>3558006.51</v>
      </c>
      <c r="T10" s="22">
        <v>3551101.42</v>
      </c>
      <c r="U10" s="22">
        <v>3556368.66</v>
      </c>
    </row>
    <row r="11" spans="1:21" x14ac:dyDescent="0.3">
      <c r="A11" s="21" t="str">
        <f>gurobi!A11</f>
        <v>(300, 140, 170, 5)</v>
      </c>
      <c r="B11" s="22">
        <v>1005.17</v>
      </c>
      <c r="C11" s="22">
        <v>981.98</v>
      </c>
      <c r="D11" s="22">
        <v>998.44</v>
      </c>
      <c r="E11" s="22">
        <v>742.47</v>
      </c>
      <c r="F11" s="22">
        <v>662.72</v>
      </c>
      <c r="G11" s="22">
        <v>893.41</v>
      </c>
      <c r="H11" s="22">
        <v>708.98</v>
      </c>
      <c r="I11" s="22">
        <v>693.11</v>
      </c>
      <c r="J11" s="22">
        <v>642.03</v>
      </c>
      <c r="K11" s="22">
        <v>647.38</v>
      </c>
      <c r="L11" s="22">
        <v>4353268.5199999996</v>
      </c>
      <c r="M11" s="22">
        <v>4355187.34</v>
      </c>
      <c r="N11" s="22">
        <v>4389938.68</v>
      </c>
      <c r="O11" s="22">
        <v>4361796.1100000003</v>
      </c>
      <c r="P11" s="22">
        <v>4335532.8099999996</v>
      </c>
      <c r="Q11" s="22">
        <v>4357849.16</v>
      </c>
      <c r="R11" s="22">
        <v>4332611.38</v>
      </c>
      <c r="S11" s="22">
        <v>4339404.33</v>
      </c>
      <c r="T11" s="22">
        <v>4332938.38</v>
      </c>
      <c r="U11" s="22">
        <v>4342522.51</v>
      </c>
    </row>
    <row r="12" spans="1:21" x14ac:dyDescent="0.3">
      <c r="A12" s="21" t="str">
        <f>gurobi!A12</f>
        <v>(400, 150, 170 ,6)</v>
      </c>
      <c r="B12" s="22">
        <v>1031.8900000000001</v>
      </c>
      <c r="C12" s="22">
        <v>979.12</v>
      </c>
      <c r="D12" s="22">
        <v>985.27</v>
      </c>
      <c r="E12" s="22">
        <v>938.78</v>
      </c>
      <c r="F12" s="22">
        <v>970.75</v>
      </c>
      <c r="G12" s="22">
        <v>858.31</v>
      </c>
      <c r="H12" s="22">
        <v>870.95</v>
      </c>
      <c r="I12" s="22">
        <v>990.89</v>
      </c>
      <c r="J12" s="22">
        <v>929.88</v>
      </c>
      <c r="K12" s="22">
        <v>1002.77</v>
      </c>
      <c r="L12" s="22">
        <v>5650331.3399999999</v>
      </c>
      <c r="M12" s="22">
        <v>5682884.04</v>
      </c>
      <c r="N12" s="22">
        <v>5643846.0700000003</v>
      </c>
      <c r="O12" s="22">
        <v>5655649.6299999999</v>
      </c>
      <c r="P12" s="22">
        <v>5670432.9400000004</v>
      </c>
      <c r="Q12" s="22">
        <v>5692777.2300000004</v>
      </c>
      <c r="R12" s="22">
        <v>5669832.8200000003</v>
      </c>
      <c r="S12" s="22">
        <v>5671566.4900000002</v>
      </c>
      <c r="T12" s="22">
        <v>5676880.3200000003</v>
      </c>
      <c r="U12" s="22">
        <v>5650402.0999999996</v>
      </c>
    </row>
    <row r="13" spans="1:21" x14ac:dyDescent="0.3">
      <c r="A13" s="21" t="str">
        <f>gurobi!A13</f>
        <v>(600, 150, 200, 6)</v>
      </c>
      <c r="B13" s="2">
        <v>1701.52</v>
      </c>
      <c r="C13" s="2">
        <v>1643.47</v>
      </c>
      <c r="D13" s="2">
        <v>1702.97</v>
      </c>
      <c r="E13" s="2">
        <v>1850.23</v>
      </c>
      <c r="F13" s="2">
        <v>1737.38</v>
      </c>
      <c r="G13" s="2">
        <v>1787.83</v>
      </c>
      <c r="H13" s="2">
        <v>1869.59</v>
      </c>
      <c r="I13" s="2">
        <v>2659.97</v>
      </c>
      <c r="J13" s="2">
        <v>2210.9699999999998</v>
      </c>
      <c r="K13" s="13">
        <v>1746.69</v>
      </c>
      <c r="L13" s="2">
        <v>6172440.1699999999</v>
      </c>
      <c r="M13" s="2">
        <v>6194876.1900000004</v>
      </c>
      <c r="N13" s="2">
        <v>6175554.46</v>
      </c>
      <c r="O13" s="2">
        <v>6172118.75</v>
      </c>
      <c r="P13" s="2">
        <v>6164636.3600000003</v>
      </c>
      <c r="Q13" s="2">
        <v>6189842.0999999996</v>
      </c>
      <c r="R13" s="2">
        <v>6184008.4000000004</v>
      </c>
      <c r="S13" s="2">
        <v>6198492.9299999997</v>
      </c>
      <c r="T13" s="2">
        <v>6163285.0099999998</v>
      </c>
      <c r="U13" s="13">
        <v>6194580.6500000004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U13"/>
  <sheetViews>
    <sheetView topLeftCell="M1" zoomScale="110" zoomScaleNormal="110" workbookViewId="0">
      <selection activeCell="C20" sqref="C20"/>
    </sheetView>
  </sheetViews>
  <sheetFormatPr defaultColWidth="9.109375" defaultRowHeight="14.4" x14ac:dyDescent="0.3"/>
  <cols>
    <col min="1" max="1" width="15.33203125" style="1" bestFit="1" customWidth="1"/>
    <col min="2" max="2" width="13.5546875" style="3" bestFit="1" customWidth="1"/>
    <col min="3" max="3" width="13.5546875" style="2" bestFit="1" customWidth="1"/>
    <col min="4" max="12" width="13.5546875" style="3" bestFit="1" customWidth="1"/>
    <col min="13" max="13" width="13.5546875" style="4" bestFit="1" customWidth="1"/>
    <col min="14" max="21" width="13.5546875" style="5" bestFit="1" customWidth="1"/>
  </cols>
  <sheetData>
    <row r="1" spans="1:21" s="1" customFormat="1" x14ac:dyDescent="0.3">
      <c r="A1" s="10" t="s">
        <v>0</v>
      </c>
      <c r="B1" s="23" t="s">
        <v>1</v>
      </c>
      <c r="C1" s="11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11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4" t="s">
        <v>20</v>
      </c>
    </row>
    <row r="2" spans="1:21" x14ac:dyDescent="0.3">
      <c r="A2" s="12" t="str">
        <f>gurobi!A2</f>
        <v>(2, 2, 4, 1)</v>
      </c>
      <c r="B2" s="26">
        <v>0.05</v>
      </c>
      <c r="C2" s="26">
        <v>0.02</v>
      </c>
      <c r="D2" s="26">
        <v>0.03</v>
      </c>
      <c r="E2" s="26">
        <v>0.03</v>
      </c>
      <c r="F2" s="26">
        <v>0.03</v>
      </c>
      <c r="G2" s="26">
        <v>0.02</v>
      </c>
      <c r="H2" s="26">
        <v>0.02</v>
      </c>
      <c r="I2" s="26">
        <v>0.03</v>
      </c>
      <c r="J2" s="26">
        <v>0.02</v>
      </c>
      <c r="K2" s="26">
        <v>0.02</v>
      </c>
      <c r="L2" s="26">
        <v>28554.02</v>
      </c>
      <c r="M2" s="26">
        <v>28554.02</v>
      </c>
      <c r="N2" s="26">
        <v>28554.02</v>
      </c>
      <c r="O2" s="26">
        <v>28554.02</v>
      </c>
      <c r="P2" s="26">
        <v>28554.02</v>
      </c>
      <c r="Q2" s="26">
        <v>28554.02</v>
      </c>
      <c r="R2" s="26">
        <v>28554.02</v>
      </c>
      <c r="S2" s="26">
        <v>28554.02</v>
      </c>
      <c r="T2" s="26">
        <v>28554.02</v>
      </c>
      <c r="U2" s="27">
        <v>28554.02</v>
      </c>
    </row>
    <row r="3" spans="1:21" x14ac:dyDescent="0.3">
      <c r="A3" s="12" t="str">
        <f>gurobi!A3</f>
        <v>(5, 4, 10, 1)</v>
      </c>
      <c r="B3" s="26">
        <v>0.11</v>
      </c>
      <c r="C3" s="26">
        <v>0.11</v>
      </c>
      <c r="D3" s="26">
        <v>0.09</v>
      </c>
      <c r="E3" s="26">
        <v>0.09</v>
      </c>
      <c r="F3" s="26">
        <v>0.11</v>
      </c>
      <c r="G3" s="26">
        <v>0.09</v>
      </c>
      <c r="H3" s="26">
        <v>0.11</v>
      </c>
      <c r="I3" s="26">
        <v>0.09</v>
      </c>
      <c r="J3" s="26">
        <v>0.11</v>
      </c>
      <c r="K3" s="26">
        <v>0.12</v>
      </c>
      <c r="L3" s="26">
        <v>61406.22</v>
      </c>
      <c r="M3" s="26">
        <v>61403.82</v>
      </c>
      <c r="N3" s="26">
        <v>61405.36</v>
      </c>
      <c r="O3" s="26">
        <v>61402.81</v>
      </c>
      <c r="P3" s="26">
        <v>61404.51</v>
      </c>
      <c r="Q3" s="26">
        <v>61402.81</v>
      </c>
      <c r="R3" s="26">
        <v>61403.82</v>
      </c>
      <c r="S3" s="26">
        <v>61402.81</v>
      </c>
      <c r="T3" s="26">
        <v>61403.82</v>
      </c>
      <c r="U3" s="27">
        <v>61402.05</v>
      </c>
    </row>
    <row r="4" spans="1:21" x14ac:dyDescent="0.3">
      <c r="A4" s="12" t="str">
        <f>gurobi!A4</f>
        <v>(10, 8, 20, 2)</v>
      </c>
      <c r="B4" s="26">
        <v>0.52</v>
      </c>
      <c r="C4" s="26">
        <v>0.52</v>
      </c>
      <c r="D4" s="26">
        <v>0.53</v>
      </c>
      <c r="E4" s="26">
        <v>0.56000000000000005</v>
      </c>
      <c r="F4" s="26">
        <v>0.53</v>
      </c>
      <c r="G4" s="26">
        <v>0.53</v>
      </c>
      <c r="H4" s="26">
        <v>0.55000000000000004</v>
      </c>
      <c r="I4" s="26">
        <v>0.53</v>
      </c>
      <c r="J4" s="26">
        <v>0.52</v>
      </c>
      <c r="K4" s="26">
        <v>0.52</v>
      </c>
      <c r="L4" s="26">
        <v>192827.89</v>
      </c>
      <c r="M4" s="26">
        <v>192920.38</v>
      </c>
      <c r="N4" s="26">
        <v>192822.77</v>
      </c>
      <c r="O4" s="26">
        <v>193089.09</v>
      </c>
      <c r="P4" s="26">
        <v>193079.39</v>
      </c>
      <c r="Q4" s="26">
        <v>193082.02</v>
      </c>
      <c r="R4" s="26">
        <v>192872.82</v>
      </c>
      <c r="S4" s="26">
        <v>192940.93</v>
      </c>
      <c r="T4" s="26">
        <v>192891.79</v>
      </c>
      <c r="U4" s="27">
        <v>193280.45</v>
      </c>
    </row>
    <row r="5" spans="1:21" x14ac:dyDescent="0.3">
      <c r="A5" s="12" t="str">
        <f>gurobi!A5</f>
        <v>(20, 20, 30, 2)</v>
      </c>
      <c r="B5" s="26">
        <v>2.17</v>
      </c>
      <c r="C5" s="26">
        <v>2.2200000000000002</v>
      </c>
      <c r="D5" s="26">
        <v>4.58</v>
      </c>
      <c r="E5" s="26">
        <v>2.19</v>
      </c>
      <c r="F5" s="26">
        <v>2.17</v>
      </c>
      <c r="G5" s="26">
        <v>2.17</v>
      </c>
      <c r="H5" s="26">
        <v>2.23</v>
      </c>
      <c r="I5" s="26">
        <v>6.91</v>
      </c>
      <c r="J5" s="26">
        <v>7</v>
      </c>
      <c r="K5" s="26">
        <v>2.33</v>
      </c>
      <c r="L5" s="26">
        <v>291872.90000000002</v>
      </c>
      <c r="M5" s="26">
        <v>291550.33</v>
      </c>
      <c r="N5" s="26">
        <v>291501.92</v>
      </c>
      <c r="O5" s="26">
        <v>291672.67</v>
      </c>
      <c r="P5" s="26">
        <v>292371.68</v>
      </c>
      <c r="Q5" s="26">
        <v>291194.59999999998</v>
      </c>
      <c r="R5" s="26">
        <v>290969.65000000002</v>
      </c>
      <c r="S5" s="26">
        <v>291742.31</v>
      </c>
      <c r="T5" s="26">
        <v>291554.65000000002</v>
      </c>
      <c r="U5" s="27">
        <v>291268.03000000003</v>
      </c>
    </row>
    <row r="6" spans="1:21" x14ac:dyDescent="0.3">
      <c r="A6" s="12" t="str">
        <f>gurobi!A6</f>
        <v>(50, 80, 70, 3)</v>
      </c>
      <c r="B6" s="26">
        <v>38.25</v>
      </c>
      <c r="C6" s="26">
        <v>25.12</v>
      </c>
      <c r="D6" s="26">
        <v>25.22</v>
      </c>
      <c r="E6" s="26">
        <v>24.8</v>
      </c>
      <c r="F6" s="26">
        <v>25.59</v>
      </c>
      <c r="G6" s="26">
        <v>26.2</v>
      </c>
      <c r="H6" s="26">
        <v>24.38</v>
      </c>
      <c r="I6" s="26">
        <v>24.78</v>
      </c>
      <c r="J6" s="26">
        <v>24.2</v>
      </c>
      <c r="K6" s="26">
        <v>24.42</v>
      </c>
      <c r="L6" s="26">
        <v>710310.9</v>
      </c>
      <c r="M6" s="26">
        <v>711000.34</v>
      </c>
      <c r="N6" s="26">
        <v>711185.82</v>
      </c>
      <c r="O6" s="26">
        <v>710495.32</v>
      </c>
      <c r="P6" s="26">
        <v>711088.82</v>
      </c>
      <c r="Q6" s="26">
        <v>711294.09</v>
      </c>
      <c r="R6" s="26">
        <v>711282.41</v>
      </c>
      <c r="S6" s="26">
        <v>710894.55</v>
      </c>
      <c r="T6" s="26">
        <v>710713.08</v>
      </c>
      <c r="U6" s="27">
        <v>712478.95</v>
      </c>
    </row>
    <row r="7" spans="1:21" x14ac:dyDescent="0.3">
      <c r="A7" s="12" t="str">
        <f>gurobi!A7</f>
        <v>(70, 120, 100, 3)</v>
      </c>
      <c r="B7" s="26">
        <v>62.92</v>
      </c>
      <c r="C7" s="26">
        <v>64.78</v>
      </c>
      <c r="D7" s="26">
        <v>61.88</v>
      </c>
      <c r="E7" s="26">
        <v>61.61</v>
      </c>
      <c r="F7" s="26">
        <v>61.53</v>
      </c>
      <c r="G7" s="26">
        <v>99.86</v>
      </c>
      <c r="H7" s="26">
        <v>120.7</v>
      </c>
      <c r="I7" s="26">
        <v>145.62</v>
      </c>
      <c r="J7" s="26">
        <v>83.55</v>
      </c>
      <c r="K7" s="26">
        <v>62.52</v>
      </c>
      <c r="L7" s="26">
        <v>1376228.47</v>
      </c>
      <c r="M7" s="26">
        <v>1375244.47</v>
      </c>
      <c r="N7" s="26">
        <v>1374479.05</v>
      </c>
      <c r="O7" s="26">
        <v>1374972.52</v>
      </c>
      <c r="P7" s="26">
        <v>1375252.63</v>
      </c>
      <c r="Q7" s="26">
        <v>1375510.71</v>
      </c>
      <c r="R7" s="26">
        <v>1376427.39</v>
      </c>
      <c r="S7" s="26">
        <v>1374828.11</v>
      </c>
      <c r="T7" s="26">
        <v>1376446.37</v>
      </c>
      <c r="U7" s="27">
        <v>1375053.21</v>
      </c>
    </row>
    <row r="8" spans="1:21" x14ac:dyDescent="0.3">
      <c r="A8" s="12" t="str">
        <f>gurobi!A8</f>
        <v>(100, 120, 100, 4)</v>
      </c>
      <c r="B8" s="26">
        <v>135.66999999999999</v>
      </c>
      <c r="C8" s="26">
        <v>127.62</v>
      </c>
      <c r="D8" s="26">
        <v>232.47</v>
      </c>
      <c r="E8" s="26">
        <v>213.19</v>
      </c>
      <c r="F8" s="26">
        <v>82.38</v>
      </c>
      <c r="G8" s="26">
        <v>80.73</v>
      </c>
      <c r="H8" s="26">
        <v>80.92</v>
      </c>
      <c r="I8" s="26">
        <v>80.83</v>
      </c>
      <c r="J8" s="26">
        <v>83.14</v>
      </c>
      <c r="K8" s="26">
        <v>81.73</v>
      </c>
      <c r="L8" s="26">
        <v>1908563.57</v>
      </c>
      <c r="M8" s="26">
        <v>1911241.06</v>
      </c>
      <c r="N8" s="26">
        <v>1909356.99</v>
      </c>
      <c r="O8" s="26">
        <v>1908683.41</v>
      </c>
      <c r="P8" s="26">
        <v>1909337.68</v>
      </c>
      <c r="Q8" s="26">
        <v>1909915.62</v>
      </c>
      <c r="R8" s="26">
        <v>1908270.31</v>
      </c>
      <c r="S8" s="26">
        <v>1908663.63</v>
      </c>
      <c r="T8" s="26">
        <v>1910737.5</v>
      </c>
      <c r="U8" s="27">
        <v>1909408.89</v>
      </c>
    </row>
    <row r="9" spans="1:21" x14ac:dyDescent="0.3">
      <c r="A9" s="12" t="str">
        <f>gurobi!A9</f>
        <v>(150, 120, 130, 4)</v>
      </c>
      <c r="B9" s="26">
        <v>151.94999999999999</v>
      </c>
      <c r="C9" s="26">
        <v>151.97999999999999</v>
      </c>
      <c r="D9" s="26">
        <v>151.31</v>
      </c>
      <c r="E9" s="26">
        <v>150.41</v>
      </c>
      <c r="F9" s="26">
        <v>151.16999999999999</v>
      </c>
      <c r="G9" s="26">
        <v>155.27000000000001</v>
      </c>
      <c r="H9" s="26">
        <v>154.19999999999999</v>
      </c>
      <c r="I9" s="26">
        <v>153.38999999999999</v>
      </c>
      <c r="J9" s="26">
        <v>154.22</v>
      </c>
      <c r="K9" s="26">
        <v>154.38</v>
      </c>
      <c r="L9" s="26">
        <v>2232368.64</v>
      </c>
      <c r="M9" s="26">
        <v>2233822.29</v>
      </c>
      <c r="N9" s="26">
        <v>2231980.5699999998</v>
      </c>
      <c r="O9" s="26">
        <v>2232887.75</v>
      </c>
      <c r="P9" s="26">
        <v>2231551.1800000002</v>
      </c>
      <c r="Q9" s="26">
        <v>2232420.9</v>
      </c>
      <c r="R9" s="26">
        <v>2232126.71</v>
      </c>
      <c r="S9" s="26">
        <v>2232148.21</v>
      </c>
      <c r="T9" s="26">
        <v>2232439.37</v>
      </c>
      <c r="U9" s="27">
        <v>2231096.2400000002</v>
      </c>
    </row>
    <row r="10" spans="1:21" x14ac:dyDescent="0.3">
      <c r="A10" s="12" t="str">
        <f>gurobi!A10</f>
        <v>(200, 130, 150, 5)</v>
      </c>
      <c r="B10" s="26">
        <v>290.77999999999997</v>
      </c>
      <c r="C10" s="26">
        <v>294.47000000000003</v>
      </c>
      <c r="D10" s="26">
        <v>292.38</v>
      </c>
      <c r="E10" s="26">
        <v>293.91000000000003</v>
      </c>
      <c r="F10" s="26">
        <v>294.91000000000003</v>
      </c>
      <c r="G10" s="26">
        <v>291.83</v>
      </c>
      <c r="H10" s="26">
        <v>290.75</v>
      </c>
      <c r="I10" s="26">
        <v>290.16000000000003</v>
      </c>
      <c r="J10" s="26">
        <v>289.27</v>
      </c>
      <c r="K10" s="26">
        <v>296.42</v>
      </c>
      <c r="L10" s="26">
        <v>3528029.43</v>
      </c>
      <c r="M10" s="26">
        <v>3529834.73</v>
      </c>
      <c r="N10" s="26">
        <v>3526931.45</v>
      </c>
      <c r="O10" s="26">
        <v>3528504.63</v>
      </c>
      <c r="P10" s="26">
        <v>3528163.47</v>
      </c>
      <c r="Q10" s="26">
        <v>3528587.12</v>
      </c>
      <c r="R10" s="26">
        <v>3529244</v>
      </c>
      <c r="S10" s="26">
        <v>3528285.98</v>
      </c>
      <c r="T10" s="26">
        <v>3528582.12</v>
      </c>
      <c r="U10" s="27">
        <v>3527688.92</v>
      </c>
    </row>
    <row r="11" spans="1:21" x14ac:dyDescent="0.3">
      <c r="A11" s="12" t="str">
        <f>gurobi!A11</f>
        <v>(300, 140, 170, 5)</v>
      </c>
      <c r="B11" s="26">
        <v>821.58</v>
      </c>
      <c r="C11" s="26">
        <v>816.38</v>
      </c>
      <c r="D11" s="26">
        <v>814.66</v>
      </c>
      <c r="E11" s="26">
        <v>818.33</v>
      </c>
      <c r="F11" s="26">
        <v>538.53</v>
      </c>
      <c r="G11" s="26">
        <v>546.78</v>
      </c>
      <c r="H11" s="26">
        <v>539.75</v>
      </c>
      <c r="I11" s="26">
        <v>534.23</v>
      </c>
      <c r="J11" s="26">
        <v>537.73</v>
      </c>
      <c r="K11" s="26">
        <v>529</v>
      </c>
      <c r="L11" s="26">
        <v>4300944.72</v>
      </c>
      <c r="M11" s="26">
        <v>4297507.59</v>
      </c>
      <c r="N11" s="26">
        <v>4301321.07</v>
      </c>
      <c r="O11" s="26">
        <v>4296734.46</v>
      </c>
      <c r="P11" s="26">
        <v>4300362.12</v>
      </c>
      <c r="Q11" s="26">
        <v>4299926.3600000003</v>
      </c>
      <c r="R11" s="26">
        <v>4296711.09</v>
      </c>
      <c r="S11" s="26">
        <v>4298111.21</v>
      </c>
      <c r="T11" s="26">
        <v>4299310.53</v>
      </c>
      <c r="U11" s="27">
        <v>4297808.95</v>
      </c>
    </row>
    <row r="12" spans="1:21" x14ac:dyDescent="0.3">
      <c r="A12" s="12" t="str">
        <f>gurobi!A12</f>
        <v>(400, 150, 170 ,6)</v>
      </c>
      <c r="B12" s="26">
        <v>698.11</v>
      </c>
      <c r="C12" s="26">
        <v>690.62</v>
      </c>
      <c r="D12" s="26">
        <v>696.61</v>
      </c>
      <c r="E12" s="26">
        <v>692.83</v>
      </c>
      <c r="F12" s="26">
        <v>734.61</v>
      </c>
      <c r="G12" s="26">
        <v>696.02</v>
      </c>
      <c r="H12" s="26">
        <v>705.69</v>
      </c>
      <c r="I12" s="26">
        <v>691.75</v>
      </c>
      <c r="J12" s="26">
        <v>697.47</v>
      </c>
      <c r="K12" s="26">
        <v>709.72</v>
      </c>
      <c r="L12" s="26">
        <v>5606088.0899999999</v>
      </c>
      <c r="M12" s="26">
        <v>5606656.71</v>
      </c>
      <c r="N12" s="26">
        <v>5607396.4199999999</v>
      </c>
      <c r="O12" s="26">
        <v>5607549.9199999999</v>
      </c>
      <c r="P12" s="26">
        <v>5604781.6799999997</v>
      </c>
      <c r="Q12" s="26">
        <v>5611496.6100000003</v>
      </c>
      <c r="R12" s="26">
        <v>5603946.7699999996</v>
      </c>
      <c r="S12" s="26">
        <v>5606391.2699999996</v>
      </c>
      <c r="T12" s="26">
        <v>5611442.3200000003</v>
      </c>
      <c r="U12" s="27">
        <v>5605726.2300000004</v>
      </c>
    </row>
    <row r="13" spans="1:21" x14ac:dyDescent="0.3">
      <c r="A13" s="25" t="str">
        <f>gurobi!A13</f>
        <v>(600, 150, 200, 6)</v>
      </c>
      <c r="B13" s="3" t="s">
        <v>134</v>
      </c>
      <c r="C13" s="3" t="s">
        <v>136</v>
      </c>
      <c r="D13" s="3" t="s">
        <v>138</v>
      </c>
      <c r="E13" s="3" t="s">
        <v>140</v>
      </c>
      <c r="F13" s="3" t="s">
        <v>142</v>
      </c>
      <c r="G13" s="3" t="s">
        <v>144</v>
      </c>
      <c r="H13" s="3" t="s">
        <v>146</v>
      </c>
      <c r="I13" s="3" t="s">
        <v>148</v>
      </c>
      <c r="J13" s="3" t="s">
        <v>150</v>
      </c>
      <c r="K13" s="3" t="s">
        <v>152</v>
      </c>
      <c r="L13" s="2" t="s">
        <v>133</v>
      </c>
      <c r="M13" s="2" t="s">
        <v>135</v>
      </c>
      <c r="N13" s="2" t="s">
        <v>137</v>
      </c>
      <c r="O13" s="2" t="s">
        <v>139</v>
      </c>
      <c r="P13" s="2" t="s">
        <v>141</v>
      </c>
      <c r="Q13" s="2" t="s">
        <v>143</v>
      </c>
      <c r="R13" s="2" t="s">
        <v>145</v>
      </c>
      <c r="S13" s="2" t="s">
        <v>147</v>
      </c>
      <c r="T13" s="2" t="s">
        <v>149</v>
      </c>
      <c r="U13" s="2" t="s">
        <v>151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U13"/>
  <sheetViews>
    <sheetView tabSelected="1" zoomScale="110" zoomScaleNormal="110" workbookViewId="0">
      <selection activeCell="D19" sqref="D19"/>
    </sheetView>
  </sheetViews>
  <sheetFormatPr defaultColWidth="9.109375" defaultRowHeight="14.4" x14ac:dyDescent="0.3"/>
  <cols>
    <col min="1" max="1" width="15.33203125" style="1" bestFit="1" customWidth="1"/>
    <col min="2" max="2" width="13.5546875" style="3" bestFit="1" customWidth="1"/>
    <col min="3" max="3" width="13.5546875" style="2" bestFit="1" customWidth="1"/>
    <col min="4" max="12" width="13.5546875" style="3" bestFit="1" customWidth="1"/>
    <col min="13" max="13" width="13.5546875" style="2" bestFit="1" customWidth="1"/>
    <col min="14" max="21" width="13.5546875" style="3" bestFit="1" customWidth="1"/>
  </cols>
  <sheetData>
    <row r="1" spans="1:21" x14ac:dyDescent="0.3">
      <c r="A1" s="10" t="s">
        <v>0</v>
      </c>
      <c r="B1" s="23" t="s">
        <v>1</v>
      </c>
      <c r="C1" s="11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11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4" t="s">
        <v>20</v>
      </c>
    </row>
    <row r="2" spans="1:21" x14ac:dyDescent="0.3">
      <c r="A2" s="12" t="str">
        <f>gurobi!A2</f>
        <v>(2, 2, 4, 1)</v>
      </c>
      <c r="B2" s="26" t="s">
        <v>52</v>
      </c>
      <c r="C2" s="26" t="s">
        <v>52</v>
      </c>
      <c r="D2" s="26" t="s">
        <v>53</v>
      </c>
      <c r="E2" s="26" t="s">
        <v>53</v>
      </c>
      <c r="F2" s="26" t="s">
        <v>53</v>
      </c>
      <c r="G2" s="26" t="s">
        <v>53</v>
      </c>
      <c r="H2" s="26" t="s">
        <v>52</v>
      </c>
      <c r="I2" s="26" t="s">
        <v>53</v>
      </c>
      <c r="J2" s="26" t="s">
        <v>53</v>
      </c>
      <c r="K2" s="26" t="s">
        <v>53</v>
      </c>
      <c r="L2" s="26" t="s">
        <v>51</v>
      </c>
      <c r="M2" s="26" t="s">
        <v>51</v>
      </c>
      <c r="N2" s="26" t="s">
        <v>51</v>
      </c>
      <c r="O2" s="26" t="s">
        <v>51</v>
      </c>
      <c r="P2" s="26" t="s">
        <v>51</v>
      </c>
      <c r="Q2" s="26" t="s">
        <v>51</v>
      </c>
      <c r="R2" s="26" t="s">
        <v>51</v>
      </c>
      <c r="S2" s="26" t="s">
        <v>51</v>
      </c>
      <c r="T2" s="26" t="s">
        <v>51</v>
      </c>
      <c r="U2" s="27" t="s">
        <v>51</v>
      </c>
    </row>
    <row r="3" spans="1:21" x14ac:dyDescent="0.3">
      <c r="A3" s="12" t="str">
        <f>gurobi!A3</f>
        <v>(5, 4, 10, 1)</v>
      </c>
      <c r="B3" s="26" t="s">
        <v>55</v>
      </c>
      <c r="C3" s="26" t="s">
        <v>57</v>
      </c>
      <c r="D3" s="26" t="s">
        <v>55</v>
      </c>
      <c r="E3" s="26" t="s">
        <v>55</v>
      </c>
      <c r="F3" s="26" t="s">
        <v>55</v>
      </c>
      <c r="G3" s="26" t="s">
        <v>57</v>
      </c>
      <c r="H3" s="26" t="s">
        <v>55</v>
      </c>
      <c r="I3" s="26" t="s">
        <v>57</v>
      </c>
      <c r="J3" s="26" t="s">
        <v>57</v>
      </c>
      <c r="K3" s="26" t="s">
        <v>57</v>
      </c>
      <c r="L3" s="26" t="s">
        <v>54</v>
      </c>
      <c r="M3" s="26" t="s">
        <v>56</v>
      </c>
      <c r="N3" s="26" t="s">
        <v>58</v>
      </c>
      <c r="O3" s="26" t="s">
        <v>59</v>
      </c>
      <c r="P3" s="26" t="s">
        <v>54</v>
      </c>
      <c r="Q3" s="26" t="s">
        <v>58</v>
      </c>
      <c r="R3" s="26" t="s">
        <v>54</v>
      </c>
      <c r="S3" s="26" t="s">
        <v>56</v>
      </c>
      <c r="T3" s="26" t="s">
        <v>59</v>
      </c>
      <c r="U3" s="27" t="s">
        <v>56</v>
      </c>
    </row>
    <row r="4" spans="1:21" x14ac:dyDescent="0.3">
      <c r="A4" s="12" t="str">
        <f>gurobi!A4</f>
        <v>(10, 8, 20, 2)</v>
      </c>
      <c r="B4" s="26" t="s">
        <v>61</v>
      </c>
      <c r="C4" s="26" t="s">
        <v>63</v>
      </c>
      <c r="D4" s="26" t="s">
        <v>63</v>
      </c>
      <c r="E4" s="26" t="s">
        <v>63</v>
      </c>
      <c r="F4" s="26" t="s">
        <v>67</v>
      </c>
      <c r="G4" s="26" t="s">
        <v>69</v>
      </c>
      <c r="H4" s="26" t="s">
        <v>70</v>
      </c>
      <c r="I4" s="26" t="s">
        <v>69</v>
      </c>
      <c r="J4" s="26" t="s">
        <v>61</v>
      </c>
      <c r="K4" s="26" t="s">
        <v>61</v>
      </c>
      <c r="L4" s="26" t="s">
        <v>60</v>
      </c>
      <c r="M4" s="26" t="s">
        <v>62</v>
      </c>
      <c r="N4" s="26" t="s">
        <v>64</v>
      </c>
      <c r="O4" s="26" t="s">
        <v>65</v>
      </c>
      <c r="P4" s="26" t="s">
        <v>66</v>
      </c>
      <c r="Q4" s="26" t="s">
        <v>68</v>
      </c>
      <c r="R4" s="26" t="s">
        <v>62</v>
      </c>
      <c r="S4" s="26" t="s">
        <v>71</v>
      </c>
      <c r="T4" s="26" t="s">
        <v>72</v>
      </c>
      <c r="U4" s="27" t="s">
        <v>66</v>
      </c>
    </row>
    <row r="5" spans="1:21" x14ac:dyDescent="0.3">
      <c r="A5" s="12" t="str">
        <f>gurobi!A5</f>
        <v>(20, 20, 30, 2)</v>
      </c>
      <c r="B5" s="26" t="s">
        <v>74</v>
      </c>
      <c r="C5" s="26" t="s">
        <v>76</v>
      </c>
      <c r="D5" s="26" t="s">
        <v>78</v>
      </c>
      <c r="E5" s="26" t="s">
        <v>80</v>
      </c>
      <c r="F5" s="26" t="s">
        <v>80</v>
      </c>
      <c r="G5" s="26" t="s">
        <v>83</v>
      </c>
      <c r="H5" s="26" t="s">
        <v>85</v>
      </c>
      <c r="I5" s="26" t="s">
        <v>87</v>
      </c>
      <c r="J5" s="26" t="s">
        <v>89</v>
      </c>
      <c r="K5" s="26" t="s">
        <v>91</v>
      </c>
      <c r="L5" s="26" t="s">
        <v>73</v>
      </c>
      <c r="M5" s="26" t="s">
        <v>75</v>
      </c>
      <c r="N5" s="26" t="s">
        <v>77</v>
      </c>
      <c r="O5" s="26" t="s">
        <v>79</v>
      </c>
      <c r="P5" s="26" t="s">
        <v>81</v>
      </c>
      <c r="Q5" s="26" t="s">
        <v>82</v>
      </c>
      <c r="R5" s="26" t="s">
        <v>84</v>
      </c>
      <c r="S5" s="26" t="s">
        <v>86</v>
      </c>
      <c r="T5" s="26" t="s">
        <v>88</v>
      </c>
      <c r="U5" s="27" t="s">
        <v>90</v>
      </c>
    </row>
    <row r="6" spans="1:21" x14ac:dyDescent="0.3">
      <c r="A6" s="12" t="str">
        <f>gurobi!A6</f>
        <v>(50, 80, 70, 3)</v>
      </c>
      <c r="B6" s="26" t="s">
        <v>93</v>
      </c>
      <c r="C6" s="26" t="s">
        <v>95</v>
      </c>
      <c r="D6" s="26" t="s">
        <v>97</v>
      </c>
      <c r="E6" s="26" t="s">
        <v>99</v>
      </c>
      <c r="F6" s="26" t="s">
        <v>101</v>
      </c>
      <c r="G6" s="26" t="s">
        <v>103</v>
      </c>
      <c r="H6" s="26" t="s">
        <v>105</v>
      </c>
      <c r="I6" s="26" t="s">
        <v>107</v>
      </c>
      <c r="J6" s="26" t="s">
        <v>109</v>
      </c>
      <c r="K6" s="26" t="s">
        <v>111</v>
      </c>
      <c r="L6" s="26" t="s">
        <v>92</v>
      </c>
      <c r="M6" s="26" t="s">
        <v>94</v>
      </c>
      <c r="N6" s="26" t="s">
        <v>96</v>
      </c>
      <c r="O6" s="26" t="s">
        <v>98</v>
      </c>
      <c r="P6" s="26" t="s">
        <v>100</v>
      </c>
      <c r="Q6" s="26" t="s">
        <v>102</v>
      </c>
      <c r="R6" s="26" t="s">
        <v>104</v>
      </c>
      <c r="S6" s="26" t="s">
        <v>106</v>
      </c>
      <c r="T6" s="26" t="s">
        <v>108</v>
      </c>
      <c r="U6" s="27" t="s">
        <v>110</v>
      </c>
    </row>
    <row r="7" spans="1:21" x14ac:dyDescent="0.3">
      <c r="A7" s="12" t="str">
        <f>gurobi!A7</f>
        <v>(70, 120, 100, 3)</v>
      </c>
      <c r="B7" s="26" t="s">
        <v>33</v>
      </c>
      <c r="C7" s="26" t="s">
        <v>35</v>
      </c>
      <c r="D7" s="26" t="s">
        <v>37</v>
      </c>
      <c r="E7" s="26" t="s">
        <v>39</v>
      </c>
      <c r="F7" s="26" t="s">
        <v>39</v>
      </c>
      <c r="G7" s="26" t="s">
        <v>42</v>
      </c>
      <c r="H7" s="26" t="s">
        <v>44</v>
      </c>
      <c r="I7" s="26" t="s">
        <v>46</v>
      </c>
      <c r="J7" s="26" t="s">
        <v>48</v>
      </c>
      <c r="K7" s="26" t="s">
        <v>50</v>
      </c>
      <c r="L7" s="26" t="s">
        <v>32</v>
      </c>
      <c r="M7" s="26" t="s">
        <v>34</v>
      </c>
      <c r="N7" s="26" t="s">
        <v>36</v>
      </c>
      <c r="O7" s="26" t="s">
        <v>38</v>
      </c>
      <c r="P7" s="26" t="s">
        <v>40</v>
      </c>
      <c r="Q7" s="26" t="s">
        <v>41</v>
      </c>
      <c r="R7" s="26" t="s">
        <v>43</v>
      </c>
      <c r="S7" s="26" t="s">
        <v>45</v>
      </c>
      <c r="T7" s="26" t="s">
        <v>47</v>
      </c>
      <c r="U7" s="27" t="s">
        <v>49</v>
      </c>
    </row>
    <row r="8" spans="1:21" x14ac:dyDescent="0.3">
      <c r="A8" s="12" t="str">
        <f>gurobi!A8</f>
        <v>(100, 120, 100, 4)</v>
      </c>
      <c r="B8" s="28">
        <v>51.73</v>
      </c>
      <c r="C8" s="28">
        <v>45.08</v>
      </c>
      <c r="D8" s="28">
        <v>46.94</v>
      </c>
      <c r="E8" s="28">
        <v>97.31</v>
      </c>
      <c r="F8" s="28">
        <v>30.77</v>
      </c>
      <c r="G8" s="28">
        <v>30.72</v>
      </c>
      <c r="H8" s="28">
        <v>30.53</v>
      </c>
      <c r="I8" s="28">
        <v>30.62</v>
      </c>
      <c r="J8" s="28">
        <v>30.92</v>
      </c>
      <c r="K8" s="28">
        <v>30.86</v>
      </c>
      <c r="L8" s="28">
        <v>1912381.4</v>
      </c>
      <c r="M8" s="28">
        <v>1909337.65</v>
      </c>
      <c r="N8" s="28">
        <v>1910216.71</v>
      </c>
      <c r="O8" s="28">
        <v>1909845.04</v>
      </c>
      <c r="P8" s="28">
        <v>1909073.79</v>
      </c>
      <c r="Q8" s="28">
        <v>1908701.36</v>
      </c>
      <c r="R8" s="28">
        <v>1909092.16</v>
      </c>
      <c r="S8" s="28">
        <v>1909253.3</v>
      </c>
      <c r="T8" s="28">
        <v>1908625.58</v>
      </c>
      <c r="U8" s="29">
        <v>1910893.46</v>
      </c>
    </row>
    <row r="9" spans="1:21" x14ac:dyDescent="0.3">
      <c r="A9" s="12" t="str">
        <f>gurobi!A9</f>
        <v>(150, 120, 130, 4)</v>
      </c>
      <c r="B9" s="28">
        <v>44.19</v>
      </c>
      <c r="C9" s="28">
        <v>40.549999999999997</v>
      </c>
      <c r="D9" s="28">
        <v>40.380000000000003</v>
      </c>
      <c r="E9" s="28">
        <v>39.880000000000003</v>
      </c>
      <c r="F9" s="28">
        <v>39.799999999999997</v>
      </c>
      <c r="G9" s="28">
        <v>39.44</v>
      </c>
      <c r="H9" s="28">
        <v>40.22</v>
      </c>
      <c r="I9" s="28">
        <v>39.39</v>
      </c>
      <c r="J9" s="28">
        <v>40.049999999999997</v>
      </c>
      <c r="K9" s="28">
        <v>39.89</v>
      </c>
      <c r="L9" s="28">
        <v>2231805.37</v>
      </c>
      <c r="M9" s="28">
        <v>2230661.9500000002</v>
      </c>
      <c r="N9" s="28">
        <v>2231344.37</v>
      </c>
      <c r="O9" s="28">
        <v>2230605.7799999998</v>
      </c>
      <c r="P9" s="28">
        <v>2232022.42</v>
      </c>
      <c r="Q9" s="28">
        <v>2230767.42</v>
      </c>
      <c r="R9" s="28">
        <v>2231271.79</v>
      </c>
      <c r="S9" s="28">
        <v>2230880.5499999998</v>
      </c>
      <c r="T9" s="28">
        <v>2231863.59</v>
      </c>
      <c r="U9" s="29">
        <v>2231322.2999999998</v>
      </c>
    </row>
    <row r="10" spans="1:21" x14ac:dyDescent="0.3">
      <c r="A10" s="12" t="str">
        <f>gurobi!A10</f>
        <v>(200, 130, 150, 5)</v>
      </c>
      <c r="B10" s="28">
        <v>61.45</v>
      </c>
      <c r="C10" s="28">
        <v>60.11</v>
      </c>
      <c r="D10" s="28">
        <v>59.92</v>
      </c>
      <c r="E10" s="28">
        <v>59.84</v>
      </c>
      <c r="F10" s="28">
        <v>60.17</v>
      </c>
      <c r="G10" s="28">
        <v>59.69</v>
      </c>
      <c r="H10" s="28">
        <v>65.84</v>
      </c>
      <c r="I10" s="28">
        <v>65.03</v>
      </c>
      <c r="J10" s="28">
        <v>64.69</v>
      </c>
      <c r="K10" s="28">
        <v>65.34</v>
      </c>
      <c r="L10" s="28">
        <v>3527865.49</v>
      </c>
      <c r="M10" s="28">
        <v>3539052.73</v>
      </c>
      <c r="N10" s="28">
        <v>3531391.43</v>
      </c>
      <c r="O10" s="28">
        <v>3530455.32</v>
      </c>
      <c r="P10" s="28">
        <v>3534073.66</v>
      </c>
      <c r="Q10" s="28">
        <v>3537746.29</v>
      </c>
      <c r="R10" s="28">
        <v>3529434.82</v>
      </c>
      <c r="S10" s="28">
        <v>3529762.36</v>
      </c>
      <c r="T10" s="28">
        <v>3529912.01</v>
      </c>
      <c r="U10" s="29">
        <v>3531222.69</v>
      </c>
    </row>
    <row r="11" spans="1:21" x14ac:dyDescent="0.3">
      <c r="A11" s="12" t="str">
        <f>gurobi!A11</f>
        <v>(300, 140, 170, 5)</v>
      </c>
      <c r="B11" s="28">
        <v>130.81</v>
      </c>
      <c r="C11" s="28">
        <v>122.12</v>
      </c>
      <c r="D11" s="28">
        <v>121.25</v>
      </c>
      <c r="E11" s="28">
        <v>120.88</v>
      </c>
      <c r="F11" s="28">
        <v>87.89</v>
      </c>
      <c r="G11" s="28">
        <v>82.94</v>
      </c>
      <c r="H11" s="28">
        <v>85.03</v>
      </c>
      <c r="I11" s="28">
        <v>93.78</v>
      </c>
      <c r="J11" s="28">
        <v>92.91</v>
      </c>
      <c r="K11" s="28">
        <v>93.14</v>
      </c>
      <c r="L11" s="28">
        <v>4297373.66</v>
      </c>
      <c r="M11" s="28">
        <v>4304351.01</v>
      </c>
      <c r="N11" s="28">
        <v>4304498.22</v>
      </c>
      <c r="O11" s="28">
        <v>4326442.3</v>
      </c>
      <c r="P11" s="28">
        <v>4301066.4800000004</v>
      </c>
      <c r="Q11" s="28">
        <v>4304770.08</v>
      </c>
      <c r="R11" s="28">
        <v>4305921.2</v>
      </c>
      <c r="S11" s="28">
        <v>4299799.3499999996</v>
      </c>
      <c r="T11" s="28">
        <v>4297695.41</v>
      </c>
      <c r="U11" s="29">
        <v>4298625.42</v>
      </c>
    </row>
    <row r="12" spans="1:21" x14ac:dyDescent="0.3">
      <c r="A12" s="12" t="str">
        <f>gurobi!A12</f>
        <v>(400, 150, 170 ,6)</v>
      </c>
      <c r="B12" s="28">
        <v>196.25</v>
      </c>
      <c r="C12" s="28">
        <v>115.34</v>
      </c>
      <c r="D12" s="28">
        <v>111.19</v>
      </c>
      <c r="E12" s="28">
        <v>112.31</v>
      </c>
      <c r="F12" s="28">
        <v>130.78</v>
      </c>
      <c r="G12" s="28">
        <v>112.22</v>
      </c>
      <c r="H12" s="28">
        <v>112.09</v>
      </c>
      <c r="I12" s="28">
        <v>113.3</v>
      </c>
      <c r="J12" s="28">
        <v>113.25</v>
      </c>
      <c r="K12" s="28">
        <v>111.84</v>
      </c>
      <c r="L12" s="28">
        <v>5605158.3200000003</v>
      </c>
      <c r="M12" s="28">
        <v>5605168.5700000003</v>
      </c>
      <c r="N12" s="28">
        <v>5616125.21</v>
      </c>
      <c r="O12" s="28">
        <v>5608806.2699999996</v>
      </c>
      <c r="P12" s="28">
        <v>5608678.4000000004</v>
      </c>
      <c r="Q12" s="28">
        <v>5607460.4299999997</v>
      </c>
      <c r="R12" s="28">
        <v>5610159.6600000001</v>
      </c>
      <c r="S12" s="28">
        <v>5603535.4100000001</v>
      </c>
      <c r="T12" s="28">
        <v>5604137.46</v>
      </c>
      <c r="U12" s="29">
        <v>5606175.3600000003</v>
      </c>
    </row>
    <row r="13" spans="1:21" x14ac:dyDescent="0.3">
      <c r="A13" s="25" t="str">
        <f>gurobi!A13</f>
        <v>(600, 150, 200, 6)</v>
      </c>
      <c r="B13" s="2" t="s">
        <v>114</v>
      </c>
      <c r="C13" s="2" t="s">
        <v>116</v>
      </c>
      <c r="D13" s="2" t="s">
        <v>118</v>
      </c>
      <c r="E13" s="2" t="s">
        <v>120</v>
      </c>
      <c r="F13" s="2" t="s">
        <v>122</v>
      </c>
      <c r="G13" s="2" t="s">
        <v>124</v>
      </c>
      <c r="H13" s="2" t="s">
        <v>126</v>
      </c>
      <c r="I13" s="2" t="s">
        <v>128</v>
      </c>
      <c r="J13" s="2" t="s">
        <v>130</v>
      </c>
      <c r="K13" s="2" t="s">
        <v>132</v>
      </c>
      <c r="L13" s="3" t="s">
        <v>113</v>
      </c>
      <c r="M13" s="3" t="s">
        <v>115</v>
      </c>
      <c r="N13" s="3" t="s">
        <v>117</v>
      </c>
      <c r="O13" s="3" t="s">
        <v>119</v>
      </c>
      <c r="P13" s="3" t="s">
        <v>121</v>
      </c>
      <c r="Q13" s="3" t="s">
        <v>123</v>
      </c>
      <c r="R13" s="3" t="s">
        <v>125</v>
      </c>
      <c r="S13" s="3" t="s">
        <v>127</v>
      </c>
      <c r="T13" s="3" t="s">
        <v>129</v>
      </c>
      <c r="U13" s="3" t="s">
        <v>131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gurobi</vt:lpstr>
      <vt:lpstr>vns</vt:lpstr>
      <vt:lpstr>as</vt:lpstr>
      <vt:lpstr>vns-ql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Clément BAMOGO</dc:creator>
  <cp:lastModifiedBy>Clément BAMOGO</cp:lastModifiedBy>
  <dcterms:created xsi:type="dcterms:W3CDTF">2026-02-03T16:06:13Z</dcterms:created>
  <dcterms:modified xsi:type="dcterms:W3CDTF">2026-02-10T12:42:39Z</dcterms:modified>
</cp:coreProperties>
</file>